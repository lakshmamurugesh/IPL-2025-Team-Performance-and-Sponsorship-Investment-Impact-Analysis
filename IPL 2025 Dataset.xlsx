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kshma murugesh\OneDrive\Desktop\DA Projects\ipl\IPL-2025-Team-Performance-and-Sponsorship-Investment-Impact-Analysis\"/>
    </mc:Choice>
  </mc:AlternateContent>
  <xr:revisionPtr revIDLastSave="0" documentId="13_ncr:1_{D2F80CFD-76CE-4ECE-AE6E-C94FE383921B}" xr6:coauthVersionLast="47" xr6:coauthVersionMax="47" xr10:uidLastSave="{00000000-0000-0000-0000-000000000000}"/>
  <bookViews>
    <workbookView xWindow="-108" yWindow="-108" windowWidth="23256" windowHeight="12456" firstSheet="3" activeTab="7" xr2:uid="{C5FDD7B0-3412-47A8-96B4-59B825CBF8B1}"/>
  </bookViews>
  <sheets>
    <sheet name="MATCHES" sheetId="8" r:id="rId1"/>
    <sheet name="PERFORMANCE" sheetId="1" r:id="rId2"/>
    <sheet name="PLAYER PERFORMANCE" sheetId="9" r:id="rId3"/>
    <sheet name="BRAND VALUE" sheetId="2" r:id="rId4"/>
    <sheet name="TEAM SPONSORSHIP" sheetId="3" r:id="rId5"/>
    <sheet name="TEAM POPULARITY" sheetId="4" r:id="rId6"/>
    <sheet name="IPL POPULARITY" sheetId="5" r:id="rId7"/>
    <sheet name="TITLE SPONSORSHIP " sheetId="6" r:id="rId8"/>
  </sheets>
  <definedNames>
    <definedName name="_xlnm._FilterDatabase" localSheetId="0" hidden="1">MATCHES!$A$1:$I$75</definedName>
    <definedName name="_xlnm.Print_Area" localSheetId="7">'TITLE SPONSORSHIP '!$A$1:$J$10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<sst xmlns="http://schemas.openxmlformats.org/spreadsheetml/2006/main" count="561" uniqueCount="152">
  <si>
    <t>Team Name</t>
  </si>
  <si>
    <t>Wins</t>
  </si>
  <si>
    <t>Losses</t>
  </si>
  <si>
    <t>Win %</t>
  </si>
  <si>
    <t>NRR</t>
  </si>
  <si>
    <t>Playoff Status</t>
  </si>
  <si>
    <t>Champions</t>
  </si>
  <si>
    <t>Runners-up</t>
  </si>
  <si>
    <t>Qualifier 2</t>
  </si>
  <si>
    <t>Eliminator</t>
  </si>
  <si>
    <t>League Stage</t>
  </si>
  <si>
    <t>Gaming/Fintech</t>
  </si>
  <si>
    <t>Automotive</t>
  </si>
  <si>
    <t>BKT Tyres</t>
  </si>
  <si>
    <t>RCB</t>
  </si>
  <si>
    <t>MI</t>
  </si>
  <si>
    <t>Consumer Goods</t>
  </si>
  <si>
    <t>RR</t>
  </si>
  <si>
    <t>Luminous</t>
  </si>
  <si>
    <t>Logistics</t>
  </si>
  <si>
    <t>DHL Express</t>
  </si>
  <si>
    <t>Dream11</t>
  </si>
  <si>
    <t>Finance</t>
  </si>
  <si>
    <t>DC</t>
  </si>
  <si>
    <t>Hero Fincorp</t>
  </si>
  <si>
    <t>Airline</t>
  </si>
  <si>
    <t>CSK</t>
  </si>
  <si>
    <t>Etihad Airways</t>
  </si>
  <si>
    <t>Qatar Airways</t>
  </si>
  <si>
    <t>Conglomerate</t>
  </si>
  <si>
    <t>TATA Group</t>
  </si>
  <si>
    <t>Sponsor Name</t>
  </si>
  <si>
    <t>Fair Play Rank</t>
  </si>
  <si>
    <t>Fair Play Points</t>
  </si>
  <si>
    <t>Brand Strength (BSI / 100)</t>
  </si>
  <si>
    <t>Instagram Followers (Millions)</t>
  </si>
  <si>
    <t>Social Media Growth (%)</t>
  </si>
  <si>
    <t>Stadium Attendance (Millions)</t>
  </si>
  <si>
    <t>Digital Viewers (Millions)</t>
  </si>
  <si>
    <t>TV Rating (TRP)</t>
  </si>
  <si>
    <t>Year</t>
  </si>
  <si>
    <t>Ahmedabad</t>
  </si>
  <si>
    <t>Narendra Modi Stadium</t>
  </si>
  <si>
    <t>PBKS</t>
  </si>
  <si>
    <t>Final</t>
  </si>
  <si>
    <t>QF 2</t>
  </si>
  <si>
    <t>New Chandigarh</t>
  </si>
  <si>
    <t>Maharaja Yadavindra Singh</t>
  </si>
  <si>
    <t>GT</t>
  </si>
  <si>
    <t>Elim</t>
  </si>
  <si>
    <t>QF 1</t>
  </si>
  <si>
    <t>Lucknow</t>
  </si>
  <si>
    <t>Ekana Stadium</t>
  </si>
  <si>
    <t>LSG</t>
  </si>
  <si>
    <t>SRH</t>
  </si>
  <si>
    <t>Abandoned</t>
  </si>
  <si>
    <t>Bengaluru</t>
  </si>
  <si>
    <t>M. Chinnaswamy Stadium</t>
  </si>
  <si>
    <t>KKR</t>
  </si>
  <si>
    <t>Jaipur</t>
  </si>
  <si>
    <t>Sawai Mansingh Stadium</t>
  </si>
  <si>
    <t>Mumbai</t>
  </si>
  <si>
    <t>Wankhede Stadium</t>
  </si>
  <si>
    <t>Chennai</t>
  </si>
  <si>
    <t>M.A. Chidambaram Stadium</t>
  </si>
  <si>
    <t>Delhi</t>
  </si>
  <si>
    <t>Arun Jaitley Stadium</t>
  </si>
  <si>
    <t>Dharamsala</t>
  </si>
  <si>
    <t>HPCA Stadium</t>
  </si>
  <si>
    <t>Hyderabad</t>
  </si>
  <si>
    <t>Rajiv Gandhi Stadium</t>
  </si>
  <si>
    <t>Kolkata</t>
  </si>
  <si>
    <t>Eden Gardens</t>
  </si>
  <si>
    <t>No Result</t>
  </si>
  <si>
    <t>DC (SO)</t>
  </si>
  <si>
    <t>Guwahati</t>
  </si>
  <si>
    <t>Barsapara Stadium</t>
  </si>
  <si>
    <t>Visakhapatnam</t>
  </si>
  <si>
    <t>ACA-VDCA Stadium</t>
  </si>
  <si>
    <t>Winner</t>
  </si>
  <si>
    <t>City</t>
  </si>
  <si>
    <t>Venue</t>
  </si>
  <si>
    <t>Team 2</t>
  </si>
  <si>
    <t>Team 1</t>
  </si>
  <si>
    <t>Date</t>
  </si>
  <si>
    <t>Match No</t>
  </si>
  <si>
    <t>Title Sponsor</t>
  </si>
  <si>
    <t>2008–2012</t>
  </si>
  <si>
    <t>DLF</t>
  </si>
  <si>
    <t>2013–2015</t>
  </si>
  <si>
    <t>PepsiCo</t>
  </si>
  <si>
    <t>2016–2017</t>
  </si>
  <si>
    <t>Vivo</t>
  </si>
  <si>
    <t>2018–2019</t>
  </si>
  <si>
    <t>2022–2023</t>
  </si>
  <si>
    <t>Player Name</t>
  </si>
  <si>
    <t>Runs</t>
  </si>
  <si>
    <t>Strike Rate</t>
  </si>
  <si>
    <t>Wickets</t>
  </si>
  <si>
    <t>Economy Rate</t>
  </si>
  <si>
    <t>Key Achievement</t>
  </si>
  <si>
    <t>Sai Sudharsan</t>
  </si>
  <si>
    <t>Orange Cap Winner</t>
  </si>
  <si>
    <t>Suryakumar Yadav</t>
  </si>
  <si>
    <t>Most aggressive top-order batter</t>
  </si>
  <si>
    <t>Virat Kohli</t>
  </si>
  <si>
    <t>Anchored RCB to the 2025 Title</t>
  </si>
  <si>
    <t>Shreyas Iyer</t>
  </si>
  <si>
    <t>Led Punjab Kings to the Final</t>
  </si>
  <si>
    <t>Prasidh Krishna</t>
  </si>
  <si>
    <t>Purple Cap Winner</t>
  </si>
  <si>
    <t>Noor Ahmad</t>
  </si>
  <si>
    <t>Leading spin wicket-taker</t>
  </si>
  <si>
    <t>Josh Hazlewood</t>
  </si>
  <si>
    <t>Spearhead for the Champions</t>
  </si>
  <si>
    <t>Mitchell Marsh</t>
  </si>
  <si>
    <t>Leading All-rounder impact</t>
  </si>
  <si>
    <t>Category</t>
  </si>
  <si>
    <t>Total Value (Cr)</t>
  </si>
  <si>
    <t>Industry Category</t>
  </si>
  <si>
    <t>Reason for Change</t>
  </si>
  <si>
    <t>Real Estate</t>
  </si>
  <si>
    <t>Initial contract completion</t>
  </si>
  <si>
    <t>FMCG / Beverage</t>
  </si>
  <si>
    <t>Pepsi terminated early</t>
  </si>
  <si>
    <t>Smartphone / Tech</t>
  </si>
  <si>
    <t>Contract expiry</t>
  </si>
  <si>
    <t>Suspended (Geopolitics)</t>
  </si>
  <si>
    <t>Fantasy Sports</t>
  </si>
  <si>
    <t>1-year replacement deal</t>
  </si>
  <si>
    <t>Rights transfer to Tata</t>
  </si>
  <si>
    <t>Assignment from Vivo</t>
  </si>
  <si>
    <t>2024–2028</t>
  </si>
  <si>
    <t>New 5-year cycle</t>
  </si>
  <si>
    <t>My11Circle</t>
  </si>
  <si>
    <t>Type</t>
  </si>
  <si>
    <t>Associate</t>
  </si>
  <si>
    <t>Player of Match</t>
  </si>
  <si>
    <t>Rank</t>
  </si>
  <si>
    <t>Principal</t>
  </si>
  <si>
    <t>Yearly Amount(CR)</t>
  </si>
  <si>
    <t>Duration (Years)</t>
  </si>
  <si>
    <t xml:space="preserve">Year </t>
  </si>
  <si>
    <t>Contract Duration (Year)</t>
  </si>
  <si>
    <t>759</t>
  </si>
  <si>
    <t>717</t>
  </si>
  <si>
    <t>657</t>
  </si>
  <si>
    <t>604</t>
  </si>
  <si>
    <t>627</t>
  </si>
  <si>
    <t>Brand Value (USD Millions)</t>
  </si>
  <si>
    <t>Amount(Cr)</t>
  </si>
  <si>
    <t>Total Matches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</si>
</sst>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1F1F1F"/>
      <name val="Calibri"/>
      <family val="2"/>
      <scheme val="minor"/>
    </font>
    <font>
      <sz val="12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left" vertical="center" wrapText="1" indent="1" readingOrder="1"/>
    </xf>
    <xf numFmtId="0" fontId="5" fillId="0" borderId="0" xfId="0" applyFont="1" applyAlignment="1">
      <alignment horizontal="left" vertical="center" wrapText="1" indent="1" readingOrder="1"/>
    </xf>
    <xf numFmtId="0" fontId="3" fillId="0" borderId="1" xfId="0" applyFont="1" applyBorder="1" applyAlignment="1">
      <alignment wrapText="1"/>
    </xf>
    <xf numFmtId="0" fontId="3" fillId="0" borderId="0" xfId="0" applyFon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64" fontId="2" fillId="0" borderId="1" xfId="0" applyNumberFormat="1" applyFont="1" applyBorder="1" applyAlignment="1">
      <alignment horizontal="left" wrapText="1"/>
    </xf>
    <xf numFmtId="164" fontId="3" fillId="0" borderId="1" xfId="0" applyNumberFormat="1" applyFont="1" applyBorder="1" applyAlignment="1">
      <alignment horizontal="left" wrapText="1"/>
    </xf>
    <xf numFmtId="164" fontId="0" fillId="0" borderId="0" xfId="0" applyNumberFormat="1" applyAlignment="1">
      <alignment horizontal="left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1" fillId="0" borderId="0" xfId="0" applyFont="1" applyAlignment="1">
      <alignment horizontal="left"/>
    </xf>
    <xf numFmtId="0" fontId="4" fillId="0" borderId="0" xfId="0" applyFont="1" applyAlignment="1">
      <alignment vertical="center" wrapText="1" readingOrder="1"/>
    </xf>
    <xf numFmtId="0" fontId="5" fillId="0" borderId="0" xfId="0" applyFont="1" applyAlignment="1">
      <alignment vertical="center" wrapText="1" readingOrder="1"/>
    </xf>
    <xf numFmtId="0" fontId="5" fillId="0" borderId="0" xfId="0" applyFont="1" applyAlignment="1">
      <alignment horizontal="left" vertical="center" wrapText="1" readingOrder="1"/>
    </xf>
    <xf numFmtId="10" fontId="4" fillId="0" borderId="0" xfId="0" applyNumberFormat="1" applyFont="1" applyAlignment="1">
      <alignment vertical="center" wrapText="1" readingOrder="1"/>
    </xf>
    <xf numFmtId="10" fontId="5" fillId="0" borderId="0" xfId="0" applyNumberFormat="1" applyFont="1" applyAlignment="1">
      <alignment horizontal="left" vertical="center" wrapText="1" readingOrder="1"/>
    </xf>
    <xf numFmtId="0" fontId="1" fillId="0" borderId="0" xfId="0" applyFont="1" applyAlignment="1">
      <alignment vertical="center"/>
    </xf>
    <xf numFmtId="2" fontId="4" fillId="0" borderId="0" xfId="0" applyNumberFormat="1" applyFont="1" applyAlignment="1">
      <alignment horizontal="left" vertical="center" wrapText="1" readingOrder="1"/>
    </xf>
    <xf numFmtId="2" fontId="5" fillId="0" borderId="0" xfId="0" applyNumberFormat="1" applyFont="1" applyAlignment="1">
      <alignment horizontal="left" vertical="center" wrapText="1" readingOrder="1"/>
    </xf>
    <xf numFmtId="10" fontId="0" fillId="0" borderId="0" xfId="0" applyNumberForma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1" fontId="2" fillId="0" borderId="1" xfId="0" applyNumberFormat="1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center" wrapText="1"/>
    </xf>
    <xf numFmtId="1" fontId="5" fillId="0" borderId="0" xfId="0" applyNumberFormat="1" applyFont="1" applyAlignment="1">
      <alignment horizontal="left" vertical="center" wrapText="1" indent="1" readingOrder="1"/>
    </xf>
    <xf numFmtId="1" fontId="3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left" vertical="center" readingOrder="1"/>
    </xf>
    <xf numFmtId="1" fontId="5" fillId="0" borderId="0" xfId="0" applyNumberFormat="1" applyFont="1" applyAlignment="1">
      <alignment horizontal="left" vertical="center" wrapText="1" readingOrder="1"/>
    </xf>
    <xf numFmtId="165" fontId="4" fillId="0" borderId="0" xfId="0" applyNumberFormat="1" applyFont="1" applyAlignment="1">
      <alignment horizontal="left" vertical="center" readingOrder="1"/>
    </xf>
    <xf numFmtId="165" fontId="5" fillId="0" borderId="0" xfId="0" applyNumberFormat="1" applyFont="1" applyAlignment="1">
      <alignment horizontal="left" vertical="center" wrapText="1" readingOrder="1"/>
    </xf>
    <xf numFmtId="165" fontId="0" fillId="0" borderId="0" xfId="0" applyNumberFormat="1" applyAlignment="1">
      <alignment horizontal="left"/>
    </xf>
    <xf numFmtId="1" fontId="4" fillId="0" borderId="0" xfId="0" applyNumberFormat="1" applyFont="1" applyAlignment="1">
      <alignment horizontal="left" vertical="center" wrapText="1" readingOrder="1"/>
    </xf>
    <xf numFmtId="9" fontId="4" fillId="0" borderId="0" xfId="0" applyNumberFormat="1" applyFont="1" applyAlignment="1">
      <alignment horizontal="left" vertical="center" wrapText="1" readingOrder="1"/>
    </xf>
    <xf numFmtId="9" fontId="5" fillId="0" borderId="0" xfId="0" applyNumberFormat="1" applyFont="1" applyAlignment="1">
      <alignment horizontal="left" vertical="center" wrapText="1" readingOrder="1"/>
    </xf>
    <xf numFmtId="9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 vertical="center" wrapText="1" readingOrder="1"/>
    </xf>
    <xf numFmtId="49" fontId="5" fillId="0" borderId="0" xfId="0" applyNumberFormat="1" applyFont="1" applyAlignment="1">
      <alignment horizontal="left" vertical="center" wrapText="1" readingOrder="1"/>
    </xf>
    <xf numFmtId="49" fontId="3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" fontId="2" fillId="0" borderId="2" xfId="0" applyNumberFormat="1" applyFont="1" applyBorder="1" applyAlignment="1">
      <alignment horizontal="left" wrapText="1"/>
    </xf>
    <xf numFmtId="1" fontId="3" fillId="0" borderId="2" xfId="0" applyNumberFormat="1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2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6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scheme val="minor"/>
      </font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scheme val="minor"/>
      </font>
      <numFmt numFmtId="1" formatCode="0"/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scheme val="minor"/>
      </font>
      <numFmt numFmtId="1" formatCode="0"/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scheme val="minor"/>
      </font>
      <numFmt numFmtId="1" formatCode="0"/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scheme val="minor"/>
      </font>
      <numFmt numFmtId="30" formatCode="@"/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scheme val="minor"/>
      </font>
      <alignment horizontal="left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scheme val="minor"/>
      </font>
      <numFmt numFmtId="1" formatCode="0"/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scheme val="minor"/>
      </font>
      <numFmt numFmtId="13" formatCode="0%"/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scheme val="minor"/>
      </font>
      <numFmt numFmtId="1" formatCode="0"/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scheme val="minor"/>
      </font>
      <numFmt numFmtId="1" formatCode="0"/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scheme val="minor"/>
      </font>
      <numFmt numFmtId="2" formatCode="0.00"/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scheme val="minor"/>
      </font>
      <numFmt numFmtId="1" formatCode="0"/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scheme val="minor"/>
      </font>
      <alignment horizontal="left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scheme val="minor"/>
      </font>
      <numFmt numFmtId="1" formatCode="0"/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scheme val="minor"/>
      </font>
      <numFmt numFmtId="1" formatCode="0"/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scheme val="minor"/>
      </font>
      <numFmt numFmtId="1" formatCode="0"/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scheme val="minor"/>
      </font>
      <numFmt numFmtId="165" formatCode="0.0"/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scheme val="minor"/>
      </font>
      <numFmt numFmtId="165" formatCode="0.0"/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scheme val="minor"/>
      </font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lef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right style="medium">
          <color rgb="FFCCCCCC"/>
        </right>
      </border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scheme val="minor"/>
      </font>
      <numFmt numFmtId="2" formatCode="0.00"/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scheme val="minor"/>
      </font>
      <numFmt numFmtId="2" formatCode="0.00"/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scheme val="minor"/>
      </font>
      <numFmt numFmtId="1" formatCode="0"/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scheme val="minor"/>
      </font>
      <numFmt numFmtId="2" formatCode="0.00"/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scheme val="minor"/>
      </font>
      <numFmt numFmtId="1" formatCode="0"/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scheme val="minor"/>
      </font>
      <alignment horizontal="left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scheme val="minor"/>
      </font>
      <numFmt numFmtId="2" formatCode="0.00"/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scheme val="minor"/>
      </font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scheme val="minor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scheme val="minor"/>
      </font>
      <numFmt numFmtId="2" formatCode="0.00"/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scheme val="minor"/>
      </font>
      <numFmt numFmtId="14" formatCode="0.00%"/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scheme val="minor"/>
      </font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scheme val="minor"/>
      </font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Calibri"/>
        <family val="2"/>
        <scheme val="minor"/>
      </font>
      <alignment horizontal="left" vertical="center" textRotation="0" wrapText="1" indent="0" justifyLastLine="0" shrinkToFit="0" readingOrder="1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[$-409]d\-mmm\-yyyy;@"/>
      <alignment horizontal="lef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lef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left style="medium">
          <color rgb="FFCCCCCC"/>
        </left>
        <right style="medium">
          <color rgb="FFCCCCCC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D2B5A5-B2E1-4DA6-8A42-F573E5C69F4A}" name="Matches" displayName="Matches" ref="A1:G75" totalsRowShown="0" headerRowDxfId="61" dataDxfId="60" tableBorderDxfId="59">
  <autoFilter ref="A1:G75" xr:uid="{0DD2B5A5-B2E1-4DA6-8A42-F573E5C69F4A}"/>
  <tableColumns count="7">
    <tableColumn id="1" xr3:uid="{9FD981CC-AF7D-483D-A7D3-F183D5119431}" name="Match No" dataDxfId="58"/>
    <tableColumn id="2" xr3:uid="{9D61AF8A-698D-4AE5-9ECF-54A2F0F2D357}" name="Date" dataDxfId="57"/>
    <tableColumn id="3" xr3:uid="{FD1C722C-F8B8-4C50-A108-A5E7B7D407CE}" name="Team 1" dataDxfId="56"/>
    <tableColumn id="4" xr3:uid="{79695F15-6891-454F-8D75-70C1E55A71FC}" name="Team 2" dataDxfId="55"/>
    <tableColumn id="5" xr3:uid="{2C11CA6E-37D1-48A1-B874-F33B3A061350}" name="Venue" dataDxfId="54"/>
    <tableColumn id="6" xr3:uid="{A2D01C19-9E9E-4BD3-AA3F-B205CD888D65}" name="City" dataDxfId="53"/>
    <tableColumn id="7" xr3:uid="{1D4FF3DF-483B-4D58-B913-CB23DCE710F5}" name="Winner" dataDxfId="5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FF6F7C-A372-4152-9246-414B089E22E4}" name="Performance" displayName="Performance" ref="A1:H11" totalsRowShown="0">
  <autoFilter ref="A1:H11" xr:uid="{E1FF6F7C-A372-4152-9246-414B089E22E4}"/>
  <tableColumns count="8">
    <tableColumn id="1" xr3:uid="{BDD406A0-498B-424A-8BB5-01AA79315F7F}" name="Team Name" dataDxfId="51"/>
    <tableColumn id="2" xr3:uid="{2D11C1C5-F8CE-427B-984C-594CA6DCC77E}" name="Wins" dataDxfId="50"/>
    <tableColumn id="3" xr3:uid="{BF400D49-B018-415A-9F7B-5A77234DDE1E}" name="Losses" dataDxfId="49"/>
    <tableColumn id="4" xr3:uid="{021CA1DF-37D3-45C4-927E-1C361DE28604}" name="Total Matches" dataDxfId="48">
      <calculatedColumnFormula>SUM(B2:C2)</calculatedColumnFormula>
    </tableColumn>
    <tableColumn id="5" xr3:uid="{581A41C6-AC69-43D8-8393-92755D415929}" name="Win %" dataDxfId="47"/>
    <tableColumn id="6" xr3:uid="{19FFDBB0-C1D0-4B26-B7EC-DA74B24DBF01}" name="NRR" dataDxfId="46"/>
    <tableColumn id="7" xr3:uid="{1BB97EBA-00A0-4398-B971-D87B563C338E}" name="Playoff Status" dataDxfId="45"/>
    <tableColumn id="8" xr3:uid="{5886EC7A-9DE7-41CE-960C-0FAE759A31E7}" name="Player of Match" dataDxfId="44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700C45-F1B8-4BD3-B445-DF82F6F2E32E}" name="Player_Performance" displayName="Player_Performance" ref="A1:G9" totalsRowShown="0" headerRowDxfId="43" dataDxfId="42">
  <autoFilter ref="A1:G9" xr:uid="{D8700C45-F1B8-4BD3-B445-DF82F6F2E32E}"/>
  <tableColumns count="7">
    <tableColumn id="1" xr3:uid="{45A88C98-5398-49CF-89DB-8DCDEBD8722C}" name="Player Name" dataDxfId="41"/>
    <tableColumn id="2" xr3:uid="{1E15C024-2B83-4963-A96F-06EA48CC18B1}" name="Team Name" dataDxfId="40"/>
    <tableColumn id="3" xr3:uid="{04C5E5F5-EC2F-4FE7-8EC1-8952DFC7865A}" name="Runs" dataDxfId="39"/>
    <tableColumn id="4" xr3:uid="{A0E36957-D509-40DD-B750-BD6665095F18}" name="Strike Rate" dataDxfId="38"/>
    <tableColumn id="5" xr3:uid="{575B04E1-FF82-410D-8075-23A4F89CB0FA}" name="Wickets" dataDxfId="37"/>
    <tableColumn id="6" xr3:uid="{CC449F20-A8BD-4832-9401-41C372FF73FF}" name="Economy Rate" dataDxfId="36"/>
    <tableColumn id="7" xr3:uid="{B607D162-CC19-4CD0-A0DA-84BE2E482778}" name="Key Achievement" dataDxfId="35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22FF71-530C-456F-8817-37D1E8C3F578}" name="Brand_Value" displayName="Brand_Value" ref="A1:D9" totalsRowShown="0" headerRowDxfId="34" dataDxfId="33">
  <autoFilter ref="A1:D9" xr:uid="{0222FF71-530C-456F-8817-37D1E8C3F578}"/>
  <tableColumns count="4">
    <tableColumn id="1" xr3:uid="{A1950A42-0952-4BEE-A024-28BAEE0582E7}" name="Team Name" dataDxfId="32"/>
    <tableColumn id="2" xr3:uid="{B2ECE1EB-C853-4CE4-B5B7-F027CEEBA8BE}" name="Brand Value (USD Millions)" dataDxfId="31"/>
    <tableColumn id="3" xr3:uid="{C96B1A98-7AE8-48CB-99DC-7788E4B2626D}" name="Year" dataDxfId="30"/>
    <tableColumn id="4" xr3:uid="{AB01BDB2-1A8C-43CB-A548-F07A0A6207D5}" name="Rank" dataDxfId="29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C503888-268B-408C-A827-09C1058A01CD}" name="Team_sponsorship" displayName="Team_sponsorship" ref="A1:G11" totalsRowShown="0" tableBorderDxfId="28">
  <autoFilter ref="A1:G11" xr:uid="{DC503888-268B-408C-A827-09C1058A01CD}"/>
  <tableColumns count="7">
    <tableColumn id="1" xr3:uid="{7E110B64-722B-4114-BFCF-156FE09AB84A}" name="Team Name" dataDxfId="27"/>
    <tableColumn id="2" xr3:uid="{082C25A5-5152-4CD3-9B3E-6C8DA32F8AC2}" name="Sponsor Name" dataDxfId="26"/>
    <tableColumn id="3" xr3:uid="{95F163F2-0496-435B-8864-28BD91D7F294}" name="Category" dataDxfId="25"/>
    <tableColumn id="4" xr3:uid="{293079A6-8658-4532-A729-884054A3EAC7}" name="Type" dataDxfId="24"/>
    <tableColumn id="5" xr3:uid="{87434F99-4723-4759-8259-49D37F5D84F8}" name="Yearly Amount(CR)" dataDxfId="23"/>
    <tableColumn id="6" xr3:uid="{739A03D5-14F9-4833-A96D-9111B0E7665C}" name="Duration (Years)" dataDxfId="22"/>
    <tableColumn id="7" xr3:uid="{DE9B05C7-8974-4125-8CFF-C9E7C0BA499C}" name="Year " dataDxfId="21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11B36B7-A43D-42B4-92FF-45C9A00A971A}" name="Team_popularity" displayName="Team_popularity" ref="A1:E11" totalsRowShown="0" dataDxfId="20">
  <autoFilter ref="A1:E11" xr:uid="{F11B36B7-A43D-42B4-92FF-45C9A00A971A}"/>
  <tableColumns count="5">
    <tableColumn id="1" xr3:uid="{C4DB22A7-92BE-433A-863A-93513CC3EFB9}" name="Team Name"/>
    <tableColumn id="2" xr3:uid="{A38FAB5D-A962-4F2F-827F-FEEE26484FFA}" name="Instagram Followers (Millions)" dataDxfId="19"/>
    <tableColumn id="3" xr3:uid="{9CBBD8D3-5838-438D-B841-E626674885CD}" name="Brand Strength (BSI / 100)" dataDxfId="18"/>
    <tableColumn id="4" xr3:uid="{9F00B298-3916-4CC9-A297-E9F22C6C5562}" name="Fair Play Points" dataDxfId="17"/>
    <tableColumn id="5" xr3:uid="{0EE07CF6-1159-4C43-9C22-4FD16723C2BB}" name="Fair Play Rank" dataDxfId="16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AE58AF3-D202-4F61-A3D7-663994395267}" name="IPL_popularity" displayName="IPL_popularity" ref="A1:E6" totalsRowShown="0" headerRowDxfId="15" dataDxfId="14">
  <autoFilter ref="A1:E6" xr:uid="{4AE58AF3-D202-4F61-A3D7-663994395267}"/>
  <tableColumns count="5">
    <tableColumn id="1" xr3:uid="{0B9FD198-94C7-4B64-8C7A-C588378449ED}" name="Year" dataDxfId="13"/>
    <tableColumn id="2" xr3:uid="{7ACD2425-B94D-4E7B-AE46-EDB7FB4814BE}" name="TV Rating (TRP)" dataDxfId="12"/>
    <tableColumn id="3" xr3:uid="{82246484-15E2-4D91-A3E4-D6BD3873461D}" name="Digital Viewers (Millions)" dataDxfId="11"/>
    <tableColumn id="4" xr3:uid="{FE5AD343-C2FA-48C2-994E-208C4B27BDAF}" name="Stadium Attendance (Millions)" dataDxfId="10"/>
    <tableColumn id="5" xr3:uid="{93DCD5D8-C813-40A4-B52D-A978D93C3F3D}" name="Social Media Growth (%)" dataDxfId="9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FFE78A8-6B4D-4E8D-AEC6-9A96B60DC0AA}" name="Title_sponsorship" displayName="Title_sponsorship" ref="A1:G9" totalsRowShown="0" headerRowDxfId="8" dataDxfId="7">
  <autoFilter ref="A1:G9" xr:uid="{7FFE78A8-6B4D-4E8D-AEC6-9A96B60DC0AA}"/>
  <tableColumns count="7">
    <tableColumn id="1" xr3:uid="{C419428A-95AA-48DA-A46C-44A9ED7BBE69}" name="Year" dataDxfId="6"/>
    <tableColumn id="2" xr3:uid="{90CA0042-2172-47C7-8BC2-4336DFAD7677}" name="Title Sponsor" dataDxfId="5"/>
    <tableColumn id="3" xr3:uid="{575BF8D1-DAB2-4775-A9F4-2CB7D3BE5F28}" name="Amount(Cr)" dataDxfId="4"/>
    <tableColumn id="4" xr3:uid="{E851C181-BDCA-4F12-8776-2E1FD757493E}" name="Total Value (Cr)" dataDxfId="3"/>
    <tableColumn id="5" xr3:uid="{75FE3ECD-C3DF-4628-8DBE-B031CA71F5CE}" name="Contract Duration (Year)" dataDxfId="2"/>
    <tableColumn id="6" xr3:uid="{28870428-E67E-40B0-928E-465D851C4AD0}" name="Industry Category" dataDxfId="1"/>
    <tableColumn id="7" xr3:uid="{70C132F6-AEB4-47F7-A192-76ABB4882520}" name="Reason for Chang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FAD6C-A06E-4626-9B14-CCBAF5B74553}">
  <dimension ref="A1:I75"/>
  <sheetViews>
    <sheetView topLeftCell="A55" zoomScale="150" zoomScaleNormal="150" workbookViewId="0">
      <selection activeCell="E2" sqref="E2"/>
    </sheetView>
  </sheetViews>
  <sheetFormatPr defaultRowHeight="14.4" x14ac:dyDescent="0.3"/>
  <cols>
    <col min="1" max="1" width="11.21875" style="20" customWidth="1"/>
    <col min="2" max="2" width="15.88671875" style="23" customWidth="1"/>
    <col min="3" max="4" width="8.88671875" style="18"/>
    <col min="5" max="5" width="24.33203125" style="18" customWidth="1"/>
    <col min="6" max="6" width="19.6640625" style="18" customWidth="1"/>
    <col min="7" max="7" width="14.21875" style="18" customWidth="1"/>
    <col min="8" max="8" width="21.33203125" style="1" customWidth="1"/>
    <col min="9" max="9" width="12.44140625" style="1" customWidth="1"/>
  </cols>
  <sheetData>
    <row r="1" spans="1:9" ht="16.2" thickBot="1" x14ac:dyDescent="0.35">
      <c r="A1" s="57" t="s">
        <v>85</v>
      </c>
      <c r="B1" s="21" t="s">
        <v>84</v>
      </c>
      <c r="C1" s="24" t="s">
        <v>83</v>
      </c>
      <c r="D1" s="24" t="s">
        <v>82</v>
      </c>
      <c r="E1" s="26" t="s">
        <v>81</v>
      </c>
      <c r="F1" s="24" t="s">
        <v>80</v>
      </c>
      <c r="G1" s="59" t="s">
        <v>79</v>
      </c>
      <c r="H1" s="3"/>
      <c r="I1" s="3"/>
    </row>
    <row r="2" spans="1:9" ht="16.2" thickBot="1" x14ac:dyDescent="0.35">
      <c r="A2" s="58">
        <v>1</v>
      </c>
      <c r="B2" s="22">
        <v>45738</v>
      </c>
      <c r="C2" s="25" t="s">
        <v>58</v>
      </c>
      <c r="D2" s="25" t="s">
        <v>14</v>
      </c>
      <c r="E2" s="18" t="s">
        <v>72</v>
      </c>
      <c r="F2" s="25" t="s">
        <v>71</v>
      </c>
      <c r="G2" s="60" t="s">
        <v>14</v>
      </c>
      <c r="H2" s="3"/>
      <c r="I2" s="4"/>
    </row>
    <row r="3" spans="1:9" ht="16.2" thickBot="1" x14ac:dyDescent="0.35">
      <c r="A3" s="58">
        <v>2</v>
      </c>
      <c r="B3" s="22">
        <v>45739</v>
      </c>
      <c r="C3" s="25" t="s">
        <v>54</v>
      </c>
      <c r="D3" s="25" t="s">
        <v>17</v>
      </c>
      <c r="E3" s="18" t="s">
        <v>70</v>
      </c>
      <c r="F3" s="25" t="s">
        <v>69</v>
      </c>
      <c r="G3" s="60" t="s">
        <v>54</v>
      </c>
      <c r="H3" s="3"/>
      <c r="I3" s="4"/>
    </row>
    <row r="4" spans="1:9" ht="16.2" thickBot="1" x14ac:dyDescent="0.35">
      <c r="A4" s="58">
        <v>3</v>
      </c>
      <c r="B4" s="22">
        <v>45739</v>
      </c>
      <c r="C4" s="25" t="s">
        <v>15</v>
      </c>
      <c r="D4" s="25" t="s">
        <v>26</v>
      </c>
      <c r="E4" s="18" t="s">
        <v>64</v>
      </c>
      <c r="F4" s="25" t="s">
        <v>63</v>
      </c>
      <c r="G4" s="60" t="s">
        <v>26</v>
      </c>
      <c r="H4" s="3"/>
      <c r="I4" s="4"/>
    </row>
    <row r="5" spans="1:9" ht="16.2" thickBot="1" x14ac:dyDescent="0.35">
      <c r="A5" s="58">
        <v>4</v>
      </c>
      <c r="B5" s="22">
        <v>45740</v>
      </c>
      <c r="C5" s="25" t="s">
        <v>53</v>
      </c>
      <c r="D5" s="25" t="s">
        <v>23</v>
      </c>
      <c r="E5" s="18" t="s">
        <v>78</v>
      </c>
      <c r="F5" s="25" t="s">
        <v>77</v>
      </c>
      <c r="G5" s="60" t="s">
        <v>23</v>
      </c>
      <c r="H5" s="3"/>
      <c r="I5" s="4"/>
    </row>
    <row r="6" spans="1:9" ht="16.2" thickBot="1" x14ac:dyDescent="0.35">
      <c r="A6" s="58">
        <v>5</v>
      </c>
      <c r="B6" s="22">
        <v>45741</v>
      </c>
      <c r="C6" s="25" t="s">
        <v>43</v>
      </c>
      <c r="D6" s="25" t="s">
        <v>48</v>
      </c>
      <c r="E6" s="18" t="s">
        <v>42</v>
      </c>
      <c r="F6" s="25" t="s">
        <v>41</v>
      </c>
      <c r="G6" s="60" t="s">
        <v>43</v>
      </c>
      <c r="H6" s="3"/>
      <c r="I6" s="4"/>
    </row>
    <row r="7" spans="1:9" ht="16.2" thickBot="1" x14ac:dyDescent="0.35">
      <c r="A7" s="58">
        <v>6</v>
      </c>
      <c r="B7" s="22">
        <v>45742</v>
      </c>
      <c r="C7" s="25" t="s">
        <v>17</v>
      </c>
      <c r="D7" s="25" t="s">
        <v>58</v>
      </c>
      <c r="E7" s="18" t="s">
        <v>76</v>
      </c>
      <c r="F7" s="25" t="s">
        <v>75</v>
      </c>
      <c r="G7" s="60" t="s">
        <v>58</v>
      </c>
      <c r="H7" s="3"/>
      <c r="I7" s="4"/>
    </row>
    <row r="8" spans="1:9" ht="16.2" thickBot="1" x14ac:dyDescent="0.35">
      <c r="A8" s="58">
        <v>7</v>
      </c>
      <c r="B8" s="22">
        <v>45743</v>
      </c>
      <c r="C8" s="25" t="s">
        <v>54</v>
      </c>
      <c r="D8" s="25" t="s">
        <v>53</v>
      </c>
      <c r="E8" s="18" t="s">
        <v>70</v>
      </c>
      <c r="F8" s="25" t="s">
        <v>69</v>
      </c>
      <c r="G8" s="60" t="s">
        <v>53</v>
      </c>
      <c r="H8" s="3"/>
      <c r="I8" s="4"/>
    </row>
    <row r="9" spans="1:9" ht="18" customHeight="1" thickBot="1" x14ac:dyDescent="0.35">
      <c r="A9" s="58">
        <v>8</v>
      </c>
      <c r="B9" s="22">
        <v>45744</v>
      </c>
      <c r="C9" s="25" t="s">
        <v>14</v>
      </c>
      <c r="D9" s="25" t="s">
        <v>26</v>
      </c>
      <c r="E9" s="18" t="s">
        <v>64</v>
      </c>
      <c r="F9" s="25" t="s">
        <v>63</v>
      </c>
      <c r="G9" s="60" t="s">
        <v>14</v>
      </c>
      <c r="H9" s="3"/>
      <c r="I9" s="4"/>
    </row>
    <row r="10" spans="1:9" ht="16.2" thickBot="1" x14ac:dyDescent="0.35">
      <c r="A10" s="58">
        <v>9</v>
      </c>
      <c r="B10" s="22">
        <v>45745</v>
      </c>
      <c r="C10" s="25" t="s">
        <v>48</v>
      </c>
      <c r="D10" s="25" t="s">
        <v>15</v>
      </c>
      <c r="E10" s="18" t="s">
        <v>42</v>
      </c>
      <c r="F10" s="25" t="s">
        <v>41</v>
      </c>
      <c r="G10" s="60" t="s">
        <v>48</v>
      </c>
      <c r="H10" s="3"/>
      <c r="I10" s="4"/>
    </row>
    <row r="11" spans="1:9" ht="16.2" thickBot="1" x14ac:dyDescent="0.35">
      <c r="A11" s="58">
        <v>10</v>
      </c>
      <c r="B11" s="22">
        <v>45746</v>
      </c>
      <c r="C11" s="25" t="s">
        <v>54</v>
      </c>
      <c r="D11" s="25" t="s">
        <v>23</v>
      </c>
      <c r="E11" s="18" t="s">
        <v>78</v>
      </c>
      <c r="F11" s="25" t="s">
        <v>77</v>
      </c>
      <c r="G11" s="60" t="s">
        <v>23</v>
      </c>
      <c r="H11" s="3"/>
      <c r="I11" s="4"/>
    </row>
    <row r="12" spans="1:9" ht="16.2" thickBot="1" x14ac:dyDescent="0.35">
      <c r="A12" s="58">
        <v>11</v>
      </c>
      <c r="B12" s="22">
        <v>45746</v>
      </c>
      <c r="C12" s="25" t="s">
        <v>17</v>
      </c>
      <c r="D12" s="25" t="s">
        <v>26</v>
      </c>
      <c r="E12" s="18" t="s">
        <v>76</v>
      </c>
      <c r="F12" s="25" t="s">
        <v>75</v>
      </c>
      <c r="G12" s="60" t="s">
        <v>17</v>
      </c>
      <c r="H12" s="3"/>
      <c r="I12" s="4"/>
    </row>
    <row r="13" spans="1:9" ht="16.2" thickBot="1" x14ac:dyDescent="0.35">
      <c r="A13" s="58">
        <v>12</v>
      </c>
      <c r="B13" s="22">
        <v>45747</v>
      </c>
      <c r="C13" s="25" t="s">
        <v>58</v>
      </c>
      <c r="D13" s="25" t="s">
        <v>15</v>
      </c>
      <c r="E13" s="18" t="s">
        <v>62</v>
      </c>
      <c r="F13" s="25" t="s">
        <v>61</v>
      </c>
      <c r="G13" s="60" t="s">
        <v>15</v>
      </c>
      <c r="H13" s="3"/>
      <c r="I13" s="4"/>
    </row>
    <row r="14" spans="1:9" ht="16.2" thickBot="1" x14ac:dyDescent="0.35">
      <c r="A14" s="58">
        <v>13</v>
      </c>
      <c r="B14" s="22">
        <v>45748</v>
      </c>
      <c r="C14" s="25" t="s">
        <v>53</v>
      </c>
      <c r="D14" s="25" t="s">
        <v>43</v>
      </c>
      <c r="E14" s="18" t="s">
        <v>52</v>
      </c>
      <c r="F14" s="25" t="s">
        <v>51</v>
      </c>
      <c r="G14" s="60" t="s">
        <v>43</v>
      </c>
      <c r="H14" s="3"/>
      <c r="I14" s="4"/>
    </row>
    <row r="15" spans="1:9" ht="16.2" thickBot="1" x14ac:dyDescent="0.35">
      <c r="A15" s="58">
        <v>14</v>
      </c>
      <c r="B15" s="22">
        <v>45749</v>
      </c>
      <c r="C15" s="25" t="s">
        <v>14</v>
      </c>
      <c r="D15" s="25" t="s">
        <v>48</v>
      </c>
      <c r="E15" s="18" t="s">
        <v>57</v>
      </c>
      <c r="F15" s="25" t="s">
        <v>56</v>
      </c>
      <c r="G15" s="60" t="s">
        <v>48</v>
      </c>
      <c r="H15" s="3"/>
      <c r="I15" s="4"/>
    </row>
    <row r="16" spans="1:9" ht="16.2" thickBot="1" x14ac:dyDescent="0.35">
      <c r="A16" s="58">
        <v>15</v>
      </c>
      <c r="B16" s="22">
        <v>45750</v>
      </c>
      <c r="C16" s="25" t="s">
        <v>58</v>
      </c>
      <c r="D16" s="25" t="s">
        <v>54</v>
      </c>
      <c r="E16" s="18" t="s">
        <v>72</v>
      </c>
      <c r="F16" s="25" t="s">
        <v>71</v>
      </c>
      <c r="G16" s="60" t="s">
        <v>58</v>
      </c>
      <c r="H16" s="3"/>
      <c r="I16" s="4"/>
    </row>
    <row r="17" spans="1:9" ht="16.2" thickBot="1" x14ac:dyDescent="0.35">
      <c r="A17" s="58">
        <v>16</v>
      </c>
      <c r="B17" s="22">
        <v>45751</v>
      </c>
      <c r="C17" s="25" t="s">
        <v>53</v>
      </c>
      <c r="D17" s="25" t="s">
        <v>15</v>
      </c>
      <c r="E17" s="18" t="s">
        <v>52</v>
      </c>
      <c r="F17" s="25" t="s">
        <v>51</v>
      </c>
      <c r="G17" s="60" t="s">
        <v>53</v>
      </c>
      <c r="H17" s="3"/>
      <c r="I17" s="4"/>
    </row>
    <row r="18" spans="1:9" ht="16.2" thickBot="1" x14ac:dyDescent="0.35">
      <c r="A18" s="58">
        <v>17</v>
      </c>
      <c r="B18" s="22">
        <v>45752</v>
      </c>
      <c r="C18" s="25" t="s">
        <v>23</v>
      </c>
      <c r="D18" s="25" t="s">
        <v>26</v>
      </c>
      <c r="E18" s="18" t="s">
        <v>64</v>
      </c>
      <c r="F18" s="25" t="s">
        <v>63</v>
      </c>
      <c r="G18" s="60" t="s">
        <v>23</v>
      </c>
      <c r="H18" s="3"/>
      <c r="I18" s="4"/>
    </row>
    <row r="19" spans="1:9" ht="16.2" thickBot="1" x14ac:dyDescent="0.35">
      <c r="A19" s="58">
        <v>18</v>
      </c>
      <c r="B19" s="22">
        <v>45752</v>
      </c>
      <c r="C19" s="25" t="s">
        <v>17</v>
      </c>
      <c r="D19" s="25" t="s">
        <v>43</v>
      </c>
      <c r="E19" s="18" t="s">
        <v>47</v>
      </c>
      <c r="F19" s="25" t="s">
        <v>46</v>
      </c>
      <c r="G19" s="60" t="s">
        <v>17</v>
      </c>
      <c r="H19" s="3"/>
      <c r="I19" s="4"/>
    </row>
    <row r="20" spans="1:9" ht="16.2" thickBot="1" x14ac:dyDescent="0.35">
      <c r="A20" s="58">
        <v>19</v>
      </c>
      <c r="B20" s="22">
        <v>45753</v>
      </c>
      <c r="C20" s="25" t="s">
        <v>53</v>
      </c>
      <c r="D20" s="25" t="s">
        <v>58</v>
      </c>
      <c r="E20" s="18" t="s">
        <v>72</v>
      </c>
      <c r="F20" s="25" t="s">
        <v>71</v>
      </c>
      <c r="G20" s="60" t="s">
        <v>53</v>
      </c>
      <c r="H20" s="3"/>
      <c r="I20" s="4"/>
    </row>
    <row r="21" spans="1:9" ht="16.2" thickBot="1" x14ac:dyDescent="0.35">
      <c r="A21" s="58">
        <v>20</v>
      </c>
      <c r="B21" s="22">
        <v>45753</v>
      </c>
      <c r="C21" s="25" t="s">
        <v>54</v>
      </c>
      <c r="D21" s="25" t="s">
        <v>48</v>
      </c>
      <c r="E21" s="18" t="s">
        <v>70</v>
      </c>
      <c r="F21" s="25" t="s">
        <v>69</v>
      </c>
      <c r="G21" s="60" t="s">
        <v>48</v>
      </c>
      <c r="H21" s="3"/>
      <c r="I21" s="4"/>
    </row>
    <row r="22" spans="1:9" ht="16.2" thickBot="1" x14ac:dyDescent="0.35">
      <c r="A22" s="58">
        <v>21</v>
      </c>
      <c r="B22" s="22">
        <v>45754</v>
      </c>
      <c r="C22" s="25" t="s">
        <v>14</v>
      </c>
      <c r="D22" s="25" t="s">
        <v>15</v>
      </c>
      <c r="E22" s="18" t="s">
        <v>62</v>
      </c>
      <c r="F22" s="25" t="s">
        <v>61</v>
      </c>
      <c r="G22" s="60" t="s">
        <v>14</v>
      </c>
      <c r="H22" s="3"/>
      <c r="I22" s="4"/>
    </row>
    <row r="23" spans="1:9" ht="16.2" thickBot="1" x14ac:dyDescent="0.35">
      <c r="A23" s="58">
        <v>22</v>
      </c>
      <c r="B23" s="22">
        <v>45755</v>
      </c>
      <c r="C23" s="25" t="s">
        <v>43</v>
      </c>
      <c r="D23" s="25" t="s">
        <v>26</v>
      </c>
      <c r="E23" s="18" t="s">
        <v>47</v>
      </c>
      <c r="F23" s="25" t="s">
        <v>46</v>
      </c>
      <c r="G23" s="60" t="s">
        <v>43</v>
      </c>
      <c r="H23" s="3"/>
      <c r="I23" s="4"/>
    </row>
    <row r="24" spans="1:9" ht="16.2" thickBot="1" x14ac:dyDescent="0.35">
      <c r="A24" s="58">
        <v>23</v>
      </c>
      <c r="B24" s="22">
        <v>45756</v>
      </c>
      <c r="C24" s="25" t="s">
        <v>48</v>
      </c>
      <c r="D24" s="25" t="s">
        <v>17</v>
      </c>
      <c r="E24" s="18" t="s">
        <v>42</v>
      </c>
      <c r="F24" s="25" t="s">
        <v>41</v>
      </c>
      <c r="G24" s="60" t="s">
        <v>48</v>
      </c>
      <c r="H24" s="3"/>
      <c r="I24" s="4"/>
    </row>
    <row r="25" spans="1:9" ht="16.2" thickBot="1" x14ac:dyDescent="0.35">
      <c r="A25" s="58">
        <v>24</v>
      </c>
      <c r="B25" s="22">
        <v>45757</v>
      </c>
      <c r="C25" s="25" t="s">
        <v>14</v>
      </c>
      <c r="D25" s="25" t="s">
        <v>23</v>
      </c>
      <c r="E25" s="18" t="s">
        <v>57</v>
      </c>
      <c r="F25" s="25" t="s">
        <v>56</v>
      </c>
      <c r="G25" s="60" t="s">
        <v>23</v>
      </c>
      <c r="H25" s="3"/>
      <c r="I25" s="4"/>
    </row>
    <row r="26" spans="1:9" ht="16.2" thickBot="1" x14ac:dyDescent="0.35">
      <c r="A26" s="58">
        <v>25</v>
      </c>
      <c r="B26" s="22">
        <v>45758</v>
      </c>
      <c r="C26" s="25" t="s">
        <v>26</v>
      </c>
      <c r="D26" s="25" t="s">
        <v>58</v>
      </c>
      <c r="E26" s="18" t="s">
        <v>64</v>
      </c>
      <c r="F26" s="25" t="s">
        <v>63</v>
      </c>
      <c r="G26" s="60" t="s">
        <v>58</v>
      </c>
      <c r="H26" s="3"/>
      <c r="I26" s="4"/>
    </row>
    <row r="27" spans="1:9" ht="16.2" thickBot="1" x14ac:dyDescent="0.35">
      <c r="A27" s="58">
        <v>26</v>
      </c>
      <c r="B27" s="22">
        <v>45759</v>
      </c>
      <c r="C27" s="25" t="s">
        <v>48</v>
      </c>
      <c r="D27" s="25" t="s">
        <v>53</v>
      </c>
      <c r="E27" s="18" t="s">
        <v>52</v>
      </c>
      <c r="F27" s="25" t="s">
        <v>51</v>
      </c>
      <c r="G27" s="60" t="s">
        <v>53</v>
      </c>
      <c r="H27" s="3"/>
      <c r="I27" s="4"/>
    </row>
    <row r="28" spans="1:9" ht="16.2" thickBot="1" x14ac:dyDescent="0.35">
      <c r="A28" s="58">
        <v>27</v>
      </c>
      <c r="B28" s="22">
        <v>45759</v>
      </c>
      <c r="C28" s="25" t="s">
        <v>43</v>
      </c>
      <c r="D28" s="25" t="s">
        <v>54</v>
      </c>
      <c r="E28" s="18" t="s">
        <v>70</v>
      </c>
      <c r="F28" s="25" t="s">
        <v>69</v>
      </c>
      <c r="G28" s="60" t="s">
        <v>54</v>
      </c>
      <c r="H28" s="3"/>
      <c r="I28" s="4"/>
    </row>
    <row r="29" spans="1:9" ht="16.2" thickBot="1" x14ac:dyDescent="0.35">
      <c r="A29" s="58">
        <v>28</v>
      </c>
      <c r="B29" s="22">
        <v>45760</v>
      </c>
      <c r="C29" s="25" t="s">
        <v>17</v>
      </c>
      <c r="D29" s="25" t="s">
        <v>14</v>
      </c>
      <c r="E29" s="18" t="s">
        <v>60</v>
      </c>
      <c r="F29" s="25" t="s">
        <v>59</v>
      </c>
      <c r="G29" s="60" t="s">
        <v>14</v>
      </c>
      <c r="H29" s="3"/>
      <c r="I29" s="4"/>
    </row>
    <row r="30" spans="1:9" ht="16.2" thickBot="1" x14ac:dyDescent="0.35">
      <c r="A30" s="58">
        <v>29</v>
      </c>
      <c r="B30" s="22">
        <v>45760</v>
      </c>
      <c r="C30" s="25" t="s">
        <v>15</v>
      </c>
      <c r="D30" s="25" t="s">
        <v>23</v>
      </c>
      <c r="E30" s="18" t="s">
        <v>66</v>
      </c>
      <c r="F30" s="25" t="s">
        <v>65</v>
      </c>
      <c r="G30" s="60" t="s">
        <v>15</v>
      </c>
      <c r="H30" s="3"/>
      <c r="I30" s="4"/>
    </row>
    <row r="31" spans="1:9" ht="16.2" thickBot="1" x14ac:dyDescent="0.35">
      <c r="A31" s="58">
        <v>30</v>
      </c>
      <c r="B31" s="22">
        <v>45761</v>
      </c>
      <c r="C31" s="25" t="s">
        <v>53</v>
      </c>
      <c r="D31" s="25" t="s">
        <v>26</v>
      </c>
      <c r="E31" s="18" t="s">
        <v>52</v>
      </c>
      <c r="F31" s="25" t="s">
        <v>51</v>
      </c>
      <c r="G31" s="60" t="s">
        <v>26</v>
      </c>
      <c r="H31" s="3"/>
      <c r="I31" s="4"/>
    </row>
    <row r="32" spans="1:9" ht="16.2" thickBot="1" x14ac:dyDescent="0.35">
      <c r="A32" s="58">
        <v>31</v>
      </c>
      <c r="B32" s="22">
        <v>45762</v>
      </c>
      <c r="C32" s="25" t="s">
        <v>43</v>
      </c>
      <c r="D32" s="25" t="s">
        <v>58</v>
      </c>
      <c r="E32" s="18" t="s">
        <v>47</v>
      </c>
      <c r="F32" s="25" t="s">
        <v>46</v>
      </c>
      <c r="G32" s="60" t="s">
        <v>43</v>
      </c>
      <c r="H32" s="3"/>
      <c r="I32" s="4"/>
    </row>
    <row r="33" spans="1:9" ht="16.2" thickBot="1" x14ac:dyDescent="0.35">
      <c r="A33" s="58">
        <v>32</v>
      </c>
      <c r="B33" s="22">
        <v>45763</v>
      </c>
      <c r="C33" s="25" t="s">
        <v>23</v>
      </c>
      <c r="D33" s="25" t="s">
        <v>17</v>
      </c>
      <c r="E33" s="18" t="s">
        <v>66</v>
      </c>
      <c r="F33" s="25" t="s">
        <v>65</v>
      </c>
      <c r="G33" s="60" t="s">
        <v>74</v>
      </c>
      <c r="H33" s="3"/>
      <c r="I33" s="4"/>
    </row>
    <row r="34" spans="1:9" ht="16.2" thickBot="1" x14ac:dyDescent="0.35">
      <c r="A34" s="58">
        <v>33</v>
      </c>
      <c r="B34" s="22">
        <v>45764</v>
      </c>
      <c r="C34" s="25" t="s">
        <v>54</v>
      </c>
      <c r="D34" s="25" t="s">
        <v>15</v>
      </c>
      <c r="E34" s="18" t="s">
        <v>62</v>
      </c>
      <c r="F34" s="25" t="s">
        <v>61</v>
      </c>
      <c r="G34" s="60" t="s">
        <v>15</v>
      </c>
      <c r="H34" s="3"/>
      <c r="I34" s="4"/>
    </row>
    <row r="35" spans="1:9" ht="16.2" thickBot="1" x14ac:dyDescent="0.35">
      <c r="A35" s="58">
        <v>34</v>
      </c>
      <c r="B35" s="22">
        <v>45765</v>
      </c>
      <c r="C35" s="25" t="s">
        <v>14</v>
      </c>
      <c r="D35" s="25" t="s">
        <v>43</v>
      </c>
      <c r="E35" s="18" t="s">
        <v>57</v>
      </c>
      <c r="F35" s="25" t="s">
        <v>56</v>
      </c>
      <c r="G35" s="60" t="s">
        <v>43</v>
      </c>
      <c r="H35" s="3"/>
      <c r="I35" s="4"/>
    </row>
    <row r="36" spans="1:9" ht="16.2" thickBot="1" x14ac:dyDescent="0.35">
      <c r="A36" s="58">
        <v>35</v>
      </c>
      <c r="B36" s="22">
        <v>45766</v>
      </c>
      <c r="C36" s="25" t="s">
        <v>23</v>
      </c>
      <c r="D36" s="25" t="s">
        <v>48</v>
      </c>
      <c r="E36" s="18" t="s">
        <v>42</v>
      </c>
      <c r="F36" s="25" t="s">
        <v>41</v>
      </c>
      <c r="G36" s="60" t="s">
        <v>48</v>
      </c>
      <c r="H36" s="3"/>
      <c r="I36" s="4"/>
    </row>
    <row r="37" spans="1:9" ht="16.2" thickBot="1" x14ac:dyDescent="0.35">
      <c r="A37" s="58">
        <v>36</v>
      </c>
      <c r="B37" s="22">
        <v>45766</v>
      </c>
      <c r="C37" s="25" t="s">
        <v>53</v>
      </c>
      <c r="D37" s="25" t="s">
        <v>17</v>
      </c>
      <c r="E37" s="18" t="s">
        <v>60</v>
      </c>
      <c r="F37" s="25" t="s">
        <v>59</v>
      </c>
      <c r="G37" s="60" t="s">
        <v>53</v>
      </c>
      <c r="H37" s="3"/>
      <c r="I37" s="4"/>
    </row>
    <row r="38" spans="1:9" ht="16.2" thickBot="1" x14ac:dyDescent="0.35">
      <c r="A38" s="58">
        <v>37</v>
      </c>
      <c r="B38" s="22">
        <v>45767</v>
      </c>
      <c r="C38" s="25" t="s">
        <v>43</v>
      </c>
      <c r="D38" s="25" t="s">
        <v>14</v>
      </c>
      <c r="E38" s="18" t="s">
        <v>47</v>
      </c>
      <c r="F38" s="25" t="s">
        <v>46</v>
      </c>
      <c r="G38" s="60" t="s">
        <v>14</v>
      </c>
      <c r="H38" s="3"/>
      <c r="I38" s="4"/>
    </row>
    <row r="39" spans="1:9" ht="16.2" thickBot="1" x14ac:dyDescent="0.35">
      <c r="A39" s="58">
        <v>38</v>
      </c>
      <c r="B39" s="22">
        <v>45767</v>
      </c>
      <c r="C39" s="25" t="s">
        <v>26</v>
      </c>
      <c r="D39" s="25" t="s">
        <v>15</v>
      </c>
      <c r="E39" s="18" t="s">
        <v>62</v>
      </c>
      <c r="F39" s="25" t="s">
        <v>61</v>
      </c>
      <c r="G39" s="60" t="s">
        <v>15</v>
      </c>
      <c r="H39" s="3"/>
      <c r="I39" s="4"/>
    </row>
    <row r="40" spans="1:9" ht="16.2" thickBot="1" x14ac:dyDescent="0.35">
      <c r="A40" s="58">
        <v>39</v>
      </c>
      <c r="B40" s="22">
        <v>45768</v>
      </c>
      <c r="C40" s="25" t="s">
        <v>48</v>
      </c>
      <c r="D40" s="25" t="s">
        <v>58</v>
      </c>
      <c r="E40" s="18" t="s">
        <v>72</v>
      </c>
      <c r="F40" s="25" t="s">
        <v>71</v>
      </c>
      <c r="G40" s="60" t="s">
        <v>48</v>
      </c>
      <c r="H40" s="3"/>
      <c r="I40" s="4"/>
    </row>
    <row r="41" spans="1:9" ht="16.2" thickBot="1" x14ac:dyDescent="0.35">
      <c r="A41" s="58">
        <v>40</v>
      </c>
      <c r="B41" s="22">
        <v>45769</v>
      </c>
      <c r="C41" s="25" t="s">
        <v>53</v>
      </c>
      <c r="D41" s="25" t="s">
        <v>23</v>
      </c>
      <c r="E41" s="18" t="s">
        <v>52</v>
      </c>
      <c r="F41" s="25" t="s">
        <v>51</v>
      </c>
      <c r="G41" s="60" t="s">
        <v>23</v>
      </c>
      <c r="H41" s="3"/>
      <c r="I41" s="4"/>
    </row>
    <row r="42" spans="1:9" ht="16.2" thickBot="1" x14ac:dyDescent="0.35">
      <c r="A42" s="58">
        <v>41</v>
      </c>
      <c r="B42" s="22">
        <v>45770</v>
      </c>
      <c r="C42" s="25" t="s">
        <v>54</v>
      </c>
      <c r="D42" s="25" t="s">
        <v>15</v>
      </c>
      <c r="E42" s="18" t="s">
        <v>70</v>
      </c>
      <c r="F42" s="25" t="s">
        <v>69</v>
      </c>
      <c r="G42" s="60" t="s">
        <v>15</v>
      </c>
      <c r="H42" s="3"/>
      <c r="I42" s="4"/>
    </row>
    <row r="43" spans="1:9" ht="16.2" thickBot="1" x14ac:dyDescent="0.35">
      <c r="A43" s="58">
        <v>42</v>
      </c>
      <c r="B43" s="22">
        <v>45771</v>
      </c>
      <c r="C43" s="25" t="s">
        <v>14</v>
      </c>
      <c r="D43" s="25" t="s">
        <v>17</v>
      </c>
      <c r="E43" s="18" t="s">
        <v>57</v>
      </c>
      <c r="F43" s="25" t="s">
        <v>56</v>
      </c>
      <c r="G43" s="60" t="s">
        <v>14</v>
      </c>
      <c r="H43" s="3"/>
      <c r="I43" s="4"/>
    </row>
    <row r="44" spans="1:9" ht="16.2" thickBot="1" x14ac:dyDescent="0.35">
      <c r="A44" s="58">
        <v>43</v>
      </c>
      <c r="B44" s="22">
        <v>45772</v>
      </c>
      <c r="C44" s="25" t="s">
        <v>26</v>
      </c>
      <c r="D44" s="25" t="s">
        <v>54</v>
      </c>
      <c r="E44" s="18" t="s">
        <v>64</v>
      </c>
      <c r="F44" s="25" t="s">
        <v>63</v>
      </c>
      <c r="G44" s="60" t="s">
        <v>54</v>
      </c>
      <c r="H44" s="3"/>
      <c r="I44" s="4"/>
    </row>
    <row r="45" spans="1:9" ht="16.2" thickBot="1" x14ac:dyDescent="0.35">
      <c r="A45" s="58">
        <v>44</v>
      </c>
      <c r="B45" s="22">
        <v>45773</v>
      </c>
      <c r="C45" s="25" t="s">
        <v>43</v>
      </c>
      <c r="D45" s="25" t="s">
        <v>58</v>
      </c>
      <c r="E45" s="18" t="s">
        <v>72</v>
      </c>
      <c r="F45" s="25" t="s">
        <v>71</v>
      </c>
      <c r="G45" s="60" t="s">
        <v>73</v>
      </c>
      <c r="H45" s="3"/>
      <c r="I45" s="4"/>
    </row>
    <row r="46" spans="1:9" ht="16.2" thickBot="1" x14ac:dyDescent="0.35">
      <c r="A46" s="58">
        <v>45</v>
      </c>
      <c r="B46" s="22">
        <v>45774</v>
      </c>
      <c r="C46" s="25" t="s">
        <v>15</v>
      </c>
      <c r="D46" s="25" t="s">
        <v>53</v>
      </c>
      <c r="E46" s="18" t="s">
        <v>62</v>
      </c>
      <c r="F46" s="25" t="s">
        <v>61</v>
      </c>
      <c r="G46" s="60" t="s">
        <v>15</v>
      </c>
      <c r="H46" s="3"/>
      <c r="I46" s="4"/>
    </row>
    <row r="47" spans="1:9" ht="16.2" thickBot="1" x14ac:dyDescent="0.35">
      <c r="A47" s="58">
        <v>46</v>
      </c>
      <c r="B47" s="22">
        <v>45774</v>
      </c>
      <c r="C47" s="25" t="s">
        <v>23</v>
      </c>
      <c r="D47" s="25" t="s">
        <v>14</v>
      </c>
      <c r="E47" s="18" t="s">
        <v>66</v>
      </c>
      <c r="F47" s="25" t="s">
        <v>65</v>
      </c>
      <c r="G47" s="60" t="s">
        <v>14</v>
      </c>
      <c r="H47" s="3"/>
      <c r="I47" s="4"/>
    </row>
    <row r="48" spans="1:9" ht="16.2" thickBot="1" x14ac:dyDescent="0.35">
      <c r="A48" s="58">
        <v>47</v>
      </c>
      <c r="B48" s="22">
        <v>45775</v>
      </c>
      <c r="C48" s="25" t="s">
        <v>17</v>
      </c>
      <c r="D48" s="25" t="s">
        <v>48</v>
      </c>
      <c r="E48" s="18" t="s">
        <v>60</v>
      </c>
      <c r="F48" s="25" t="s">
        <v>59</v>
      </c>
      <c r="G48" s="60" t="s">
        <v>48</v>
      </c>
      <c r="H48" s="3"/>
      <c r="I48" s="4"/>
    </row>
    <row r="49" spans="1:9" ht="16.2" thickBot="1" x14ac:dyDescent="0.35">
      <c r="A49" s="58">
        <v>48</v>
      </c>
      <c r="B49" s="22">
        <v>45776</v>
      </c>
      <c r="C49" s="25" t="s">
        <v>23</v>
      </c>
      <c r="D49" s="25" t="s">
        <v>58</v>
      </c>
      <c r="E49" s="18" t="s">
        <v>66</v>
      </c>
      <c r="F49" s="25" t="s">
        <v>65</v>
      </c>
      <c r="G49" s="60" t="s">
        <v>23</v>
      </c>
      <c r="H49" s="3"/>
      <c r="I49" s="4"/>
    </row>
    <row r="50" spans="1:9" ht="16.2" thickBot="1" x14ac:dyDescent="0.35">
      <c r="A50" s="58">
        <v>49</v>
      </c>
      <c r="B50" s="22">
        <v>45777</v>
      </c>
      <c r="C50" s="25" t="s">
        <v>26</v>
      </c>
      <c r="D50" s="25" t="s">
        <v>43</v>
      </c>
      <c r="E50" s="18" t="s">
        <v>64</v>
      </c>
      <c r="F50" s="25" t="s">
        <v>63</v>
      </c>
      <c r="G50" s="60" t="s">
        <v>43</v>
      </c>
      <c r="H50" s="3"/>
      <c r="I50" s="4"/>
    </row>
    <row r="51" spans="1:9" ht="16.2" thickBot="1" x14ac:dyDescent="0.35">
      <c r="A51" s="58">
        <v>50</v>
      </c>
      <c r="B51" s="22">
        <v>45778</v>
      </c>
      <c r="C51" s="25" t="s">
        <v>17</v>
      </c>
      <c r="D51" s="25" t="s">
        <v>15</v>
      </c>
      <c r="E51" s="18" t="s">
        <v>60</v>
      </c>
      <c r="F51" s="25" t="s">
        <v>59</v>
      </c>
      <c r="G51" s="60" t="s">
        <v>15</v>
      </c>
      <c r="H51" s="3"/>
      <c r="I51" s="4"/>
    </row>
    <row r="52" spans="1:9" ht="16.2" thickBot="1" x14ac:dyDescent="0.35">
      <c r="A52" s="58">
        <v>51</v>
      </c>
      <c r="B52" s="22">
        <v>45779</v>
      </c>
      <c r="C52" s="25" t="s">
        <v>48</v>
      </c>
      <c r="D52" s="25" t="s">
        <v>54</v>
      </c>
      <c r="E52" s="18" t="s">
        <v>42</v>
      </c>
      <c r="F52" s="25" t="s">
        <v>41</v>
      </c>
      <c r="G52" s="60" t="s">
        <v>48</v>
      </c>
      <c r="H52" s="3"/>
      <c r="I52" s="4"/>
    </row>
    <row r="53" spans="1:9" ht="16.2" thickBot="1" x14ac:dyDescent="0.35">
      <c r="A53" s="58">
        <v>52</v>
      </c>
      <c r="B53" s="22">
        <v>45780</v>
      </c>
      <c r="C53" s="25" t="s">
        <v>14</v>
      </c>
      <c r="D53" s="25" t="s">
        <v>26</v>
      </c>
      <c r="E53" s="18" t="s">
        <v>57</v>
      </c>
      <c r="F53" s="25" t="s">
        <v>56</v>
      </c>
      <c r="G53" s="60" t="s">
        <v>14</v>
      </c>
      <c r="H53" s="3"/>
      <c r="I53" s="4"/>
    </row>
    <row r="54" spans="1:9" ht="16.2" thickBot="1" x14ac:dyDescent="0.35">
      <c r="A54" s="58">
        <v>53</v>
      </c>
      <c r="B54" s="22">
        <v>45781</v>
      </c>
      <c r="C54" s="25" t="s">
        <v>58</v>
      </c>
      <c r="D54" s="25" t="s">
        <v>17</v>
      </c>
      <c r="E54" s="18" t="s">
        <v>72</v>
      </c>
      <c r="F54" s="25" t="s">
        <v>71</v>
      </c>
      <c r="G54" s="60" t="s">
        <v>58</v>
      </c>
      <c r="H54" s="3"/>
      <c r="I54" s="4"/>
    </row>
    <row r="55" spans="1:9" ht="16.2" thickBot="1" x14ac:dyDescent="0.35">
      <c r="A55" s="58">
        <v>54</v>
      </c>
      <c r="B55" s="22">
        <v>45781</v>
      </c>
      <c r="C55" s="25" t="s">
        <v>43</v>
      </c>
      <c r="D55" s="25" t="s">
        <v>26</v>
      </c>
      <c r="E55" s="18" t="s">
        <v>68</v>
      </c>
      <c r="F55" s="25" t="s">
        <v>67</v>
      </c>
      <c r="G55" s="60" t="s">
        <v>43</v>
      </c>
      <c r="H55" s="3"/>
      <c r="I55" s="4"/>
    </row>
    <row r="56" spans="1:9" ht="16.2" thickBot="1" x14ac:dyDescent="0.35">
      <c r="A56" s="58">
        <v>55</v>
      </c>
      <c r="B56" s="22">
        <v>45783</v>
      </c>
      <c r="C56" s="25" t="s">
        <v>15</v>
      </c>
      <c r="D56" s="25" t="s">
        <v>48</v>
      </c>
      <c r="E56" s="18" t="s">
        <v>62</v>
      </c>
      <c r="F56" s="25" t="s">
        <v>61</v>
      </c>
      <c r="G56" s="60" t="s">
        <v>48</v>
      </c>
      <c r="H56" s="3"/>
      <c r="I56" s="4"/>
    </row>
    <row r="57" spans="1:9" ht="16.2" thickBot="1" x14ac:dyDescent="0.35">
      <c r="A57" s="58">
        <v>56</v>
      </c>
      <c r="B57" s="22">
        <v>45784</v>
      </c>
      <c r="C57" s="25" t="s">
        <v>58</v>
      </c>
      <c r="D57" s="25" t="s">
        <v>26</v>
      </c>
      <c r="E57" s="18" t="s">
        <v>72</v>
      </c>
      <c r="F57" s="25" t="s">
        <v>71</v>
      </c>
      <c r="G57" s="60" t="s">
        <v>26</v>
      </c>
      <c r="H57" s="3"/>
      <c r="I57" s="4"/>
    </row>
    <row r="58" spans="1:9" ht="16.2" thickBot="1" x14ac:dyDescent="0.35">
      <c r="A58" s="58">
        <v>57</v>
      </c>
      <c r="B58" s="22">
        <v>45785</v>
      </c>
      <c r="C58" s="25" t="s">
        <v>43</v>
      </c>
      <c r="D58" s="25" t="s">
        <v>23</v>
      </c>
      <c r="E58" s="18" t="s">
        <v>68</v>
      </c>
      <c r="F58" s="25" t="s">
        <v>67</v>
      </c>
      <c r="G58" s="60" t="s">
        <v>23</v>
      </c>
      <c r="H58" s="3"/>
      <c r="I58" s="4"/>
    </row>
    <row r="59" spans="1:9" ht="16.2" thickBot="1" x14ac:dyDescent="0.35">
      <c r="A59" s="58">
        <v>58</v>
      </c>
      <c r="B59" s="22">
        <v>45786</v>
      </c>
      <c r="C59" s="25" t="s">
        <v>53</v>
      </c>
      <c r="D59" s="25" t="s">
        <v>14</v>
      </c>
      <c r="E59" s="18" t="s">
        <v>52</v>
      </c>
      <c r="F59" s="25" t="s">
        <v>51</v>
      </c>
      <c r="G59" s="60" t="s">
        <v>14</v>
      </c>
      <c r="H59" s="3"/>
      <c r="I59" s="4"/>
    </row>
    <row r="60" spans="1:9" ht="16.2" thickBot="1" x14ac:dyDescent="0.35">
      <c r="A60" s="58">
        <v>59</v>
      </c>
      <c r="B60" s="22">
        <v>45787</v>
      </c>
      <c r="C60" s="25" t="s">
        <v>54</v>
      </c>
      <c r="D60" s="25" t="s">
        <v>58</v>
      </c>
      <c r="E60" s="18" t="s">
        <v>70</v>
      </c>
      <c r="F60" s="25" t="s">
        <v>69</v>
      </c>
      <c r="G60" s="60" t="s">
        <v>58</v>
      </c>
      <c r="H60" s="3"/>
      <c r="I60" s="4"/>
    </row>
    <row r="61" spans="1:9" ht="16.2" thickBot="1" x14ac:dyDescent="0.35">
      <c r="A61" s="58">
        <v>60</v>
      </c>
      <c r="B61" s="22">
        <v>45788</v>
      </c>
      <c r="C61" s="25" t="s">
        <v>43</v>
      </c>
      <c r="D61" s="25" t="s">
        <v>15</v>
      </c>
      <c r="E61" s="18" t="s">
        <v>68</v>
      </c>
      <c r="F61" s="25" t="s">
        <v>67</v>
      </c>
      <c r="G61" s="60" t="s">
        <v>43</v>
      </c>
      <c r="H61" s="3"/>
      <c r="I61" s="4"/>
    </row>
    <row r="62" spans="1:9" ht="16.2" thickBot="1" x14ac:dyDescent="0.35">
      <c r="A62" s="58">
        <v>61</v>
      </c>
      <c r="B62" s="22">
        <v>45788</v>
      </c>
      <c r="C62" s="25" t="s">
        <v>23</v>
      </c>
      <c r="D62" s="25" t="s">
        <v>48</v>
      </c>
      <c r="E62" s="18" t="s">
        <v>66</v>
      </c>
      <c r="F62" s="25" t="s">
        <v>65</v>
      </c>
      <c r="G62" s="60" t="s">
        <v>48</v>
      </c>
      <c r="H62" s="3"/>
      <c r="I62" s="4"/>
    </row>
    <row r="63" spans="1:9" ht="16.2" thickBot="1" x14ac:dyDescent="0.35">
      <c r="A63" s="58">
        <v>62</v>
      </c>
      <c r="B63" s="22">
        <v>45789</v>
      </c>
      <c r="C63" s="25" t="s">
        <v>26</v>
      </c>
      <c r="D63" s="25" t="s">
        <v>17</v>
      </c>
      <c r="E63" s="18" t="s">
        <v>64</v>
      </c>
      <c r="F63" s="25" t="s">
        <v>63</v>
      </c>
      <c r="G63" s="60" t="s">
        <v>17</v>
      </c>
      <c r="H63" s="3"/>
      <c r="I63" s="4"/>
    </row>
    <row r="64" spans="1:9" ht="16.2" thickBot="1" x14ac:dyDescent="0.35">
      <c r="A64" s="58">
        <v>63</v>
      </c>
      <c r="B64" s="22">
        <v>45790</v>
      </c>
      <c r="C64" s="25" t="s">
        <v>14</v>
      </c>
      <c r="D64" s="25" t="s">
        <v>54</v>
      </c>
      <c r="E64" s="18" t="s">
        <v>57</v>
      </c>
      <c r="F64" s="25" t="s">
        <v>56</v>
      </c>
      <c r="G64" s="60" t="s">
        <v>14</v>
      </c>
      <c r="H64" s="3"/>
      <c r="I64" s="4"/>
    </row>
    <row r="65" spans="1:9" ht="16.2" thickBot="1" x14ac:dyDescent="0.35">
      <c r="A65" s="58">
        <v>64</v>
      </c>
      <c r="B65" s="22">
        <v>45791</v>
      </c>
      <c r="C65" s="25" t="s">
        <v>48</v>
      </c>
      <c r="D65" s="25" t="s">
        <v>53</v>
      </c>
      <c r="E65" s="18" t="s">
        <v>42</v>
      </c>
      <c r="F65" s="25" t="s">
        <v>41</v>
      </c>
      <c r="G65" s="60" t="s">
        <v>53</v>
      </c>
      <c r="H65" s="3"/>
      <c r="I65" s="4"/>
    </row>
    <row r="66" spans="1:9" ht="16.2" thickBot="1" x14ac:dyDescent="0.35">
      <c r="A66" s="58">
        <v>65</v>
      </c>
      <c r="B66" s="22">
        <v>45792</v>
      </c>
      <c r="C66" s="25" t="s">
        <v>15</v>
      </c>
      <c r="D66" s="25" t="s">
        <v>23</v>
      </c>
      <c r="E66" s="18" t="s">
        <v>62</v>
      </c>
      <c r="F66" s="25" t="s">
        <v>61</v>
      </c>
      <c r="G66" s="60" t="s">
        <v>15</v>
      </c>
      <c r="H66" s="3"/>
      <c r="I66" s="4"/>
    </row>
    <row r="67" spans="1:9" ht="16.2" thickBot="1" x14ac:dyDescent="0.35">
      <c r="A67" s="58">
        <v>66</v>
      </c>
      <c r="B67" s="22">
        <v>45793</v>
      </c>
      <c r="C67" s="25" t="s">
        <v>17</v>
      </c>
      <c r="D67" s="25" t="s">
        <v>43</v>
      </c>
      <c r="E67" s="18" t="s">
        <v>60</v>
      </c>
      <c r="F67" s="25" t="s">
        <v>59</v>
      </c>
      <c r="G67" s="60" t="s">
        <v>43</v>
      </c>
      <c r="H67" s="3"/>
      <c r="I67" s="4"/>
    </row>
    <row r="68" spans="1:9" ht="15.6" customHeight="1" thickBot="1" x14ac:dyDescent="0.35">
      <c r="A68" s="58">
        <v>67</v>
      </c>
      <c r="B68" s="22">
        <v>45794</v>
      </c>
      <c r="C68" s="25" t="s">
        <v>14</v>
      </c>
      <c r="D68" s="25" t="s">
        <v>58</v>
      </c>
      <c r="E68" s="18" t="s">
        <v>57</v>
      </c>
      <c r="F68" s="25" t="s">
        <v>56</v>
      </c>
      <c r="G68" s="60" t="s">
        <v>55</v>
      </c>
      <c r="H68" s="3"/>
      <c r="I68" s="4"/>
    </row>
    <row r="69" spans="1:9" ht="16.2" thickBot="1" x14ac:dyDescent="0.35">
      <c r="A69" s="58">
        <v>68</v>
      </c>
      <c r="B69" s="22">
        <v>45795</v>
      </c>
      <c r="C69" s="25" t="s">
        <v>48</v>
      </c>
      <c r="D69" s="25" t="s">
        <v>26</v>
      </c>
      <c r="E69" s="18" t="s">
        <v>42</v>
      </c>
      <c r="F69" s="25" t="s">
        <v>41</v>
      </c>
      <c r="G69" s="60" t="s">
        <v>26</v>
      </c>
      <c r="H69" s="3"/>
      <c r="I69" s="4"/>
    </row>
    <row r="70" spans="1:9" ht="16.2" thickBot="1" x14ac:dyDescent="0.35">
      <c r="A70" s="58">
        <v>69</v>
      </c>
      <c r="B70" s="22">
        <v>45795</v>
      </c>
      <c r="C70" s="25" t="s">
        <v>53</v>
      </c>
      <c r="D70" s="25" t="s">
        <v>54</v>
      </c>
      <c r="E70" s="18" t="s">
        <v>52</v>
      </c>
      <c r="F70" s="25" t="s">
        <v>51</v>
      </c>
      <c r="G70" s="60" t="s">
        <v>54</v>
      </c>
      <c r="H70" s="3"/>
      <c r="I70" s="4"/>
    </row>
    <row r="71" spans="1:9" ht="16.2" thickBot="1" x14ac:dyDescent="0.35">
      <c r="A71" s="58">
        <v>70</v>
      </c>
      <c r="B71" s="22">
        <v>45804</v>
      </c>
      <c r="C71" s="25" t="s">
        <v>53</v>
      </c>
      <c r="D71" s="25" t="s">
        <v>14</v>
      </c>
      <c r="E71" s="18" t="s">
        <v>52</v>
      </c>
      <c r="F71" s="25" t="s">
        <v>51</v>
      </c>
      <c r="G71" s="60" t="s">
        <v>14</v>
      </c>
      <c r="H71" s="3"/>
      <c r="I71" s="4"/>
    </row>
    <row r="72" spans="1:9" ht="16.2" thickBot="1" x14ac:dyDescent="0.35">
      <c r="A72" s="58" t="s">
        <v>49</v>
      </c>
      <c r="B72" s="22">
        <v>45807</v>
      </c>
      <c r="C72" s="25" t="s">
        <v>15</v>
      </c>
      <c r="D72" s="25" t="s">
        <v>48</v>
      </c>
      <c r="E72" s="18" t="s">
        <v>47</v>
      </c>
      <c r="F72" s="25" t="s">
        <v>46</v>
      </c>
      <c r="G72" s="60" t="s">
        <v>15</v>
      </c>
      <c r="H72" s="3"/>
      <c r="I72" s="4"/>
    </row>
    <row r="73" spans="1:9" ht="16.2" thickBot="1" x14ac:dyDescent="0.35">
      <c r="A73" s="58" t="s">
        <v>44</v>
      </c>
      <c r="B73" s="22">
        <v>45811</v>
      </c>
      <c r="C73" s="25" t="s">
        <v>14</v>
      </c>
      <c r="D73" s="25" t="s">
        <v>43</v>
      </c>
      <c r="E73" s="18" t="s">
        <v>42</v>
      </c>
      <c r="F73" s="25" t="s">
        <v>41</v>
      </c>
      <c r="G73" s="60" t="s">
        <v>14</v>
      </c>
      <c r="H73" s="3"/>
      <c r="I73" s="4"/>
    </row>
    <row r="74" spans="1:9" ht="16.2" thickBot="1" x14ac:dyDescent="0.35">
      <c r="A74" s="58" t="s">
        <v>50</v>
      </c>
      <c r="B74" s="22">
        <v>45806</v>
      </c>
      <c r="C74" s="25" t="s">
        <v>43</v>
      </c>
      <c r="D74" s="25" t="s">
        <v>14</v>
      </c>
      <c r="E74" s="18" t="s">
        <v>47</v>
      </c>
      <c r="F74" s="25" t="s">
        <v>46</v>
      </c>
      <c r="G74" s="60" t="s">
        <v>14</v>
      </c>
      <c r="H74" s="3"/>
      <c r="I74" s="4"/>
    </row>
    <row r="75" spans="1:9" ht="16.2" thickBot="1" x14ac:dyDescent="0.35">
      <c r="A75" s="58" t="s">
        <v>45</v>
      </c>
      <c r="B75" s="22">
        <v>45809</v>
      </c>
      <c r="C75" s="25" t="s">
        <v>43</v>
      </c>
      <c r="D75" s="25" t="s">
        <v>15</v>
      </c>
      <c r="E75" s="18" t="s">
        <v>42</v>
      </c>
      <c r="F75" s="25" t="s">
        <v>41</v>
      </c>
      <c r="G75" s="60" t="s">
        <v>43</v>
      </c>
      <c r="H75" s="3"/>
      <c r="I75" s="4"/>
    </row>
  </sheetData>
  <sortState xmlns:xlrd2="http://schemas.microsoft.com/office/spreadsheetml/2017/richdata2" ref="A2:G76">
    <sortCondition ref="A1:A76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63378-2984-485A-B087-A9637880882A}">
  <dimension ref="A1:H11"/>
  <sheetViews>
    <sheetView zoomScale="151" zoomScaleNormal="151" workbookViewId="0">
      <selection activeCell="I3" sqref="I3"/>
    </sheetView>
  </sheetViews>
  <sheetFormatPr defaultRowHeight="14.4" x14ac:dyDescent="0.3"/>
  <cols>
    <col min="1" max="1" width="12.21875" style="18" customWidth="1"/>
    <col min="2" max="2" width="6.44140625" style="18" customWidth="1"/>
    <col min="3" max="3" width="11.33203125" style="18" customWidth="1"/>
    <col min="4" max="4" width="14.88671875" style="18" customWidth="1"/>
    <col min="5" max="5" width="7.77734375" style="18" customWidth="1"/>
    <col min="6" max="6" width="5.88671875" style="19" customWidth="1"/>
    <col min="7" max="7" width="14.5546875" style="35" customWidth="1"/>
    <col min="8" max="8" width="16.44140625" style="19" customWidth="1"/>
    <col min="9" max="9" width="17.77734375" customWidth="1"/>
    <col min="10" max="10" width="18" customWidth="1"/>
  </cols>
  <sheetData>
    <row r="1" spans="1:8" s="32" customFormat="1" ht="31.2" x14ac:dyDescent="0.3">
      <c r="A1" s="32" t="s">
        <v>0</v>
      </c>
      <c r="B1" s="27" t="s">
        <v>1</v>
      </c>
      <c r="C1" s="27" t="s">
        <v>2</v>
      </c>
      <c r="D1" s="27" t="s">
        <v>151</v>
      </c>
      <c r="E1" s="30" t="s">
        <v>3</v>
      </c>
      <c r="F1" s="33" t="s">
        <v>4</v>
      </c>
      <c r="G1" s="27" t="s">
        <v>5</v>
      </c>
      <c r="H1" s="13" t="s">
        <v>137</v>
      </c>
    </row>
    <row r="2" spans="1:8" ht="15.6" x14ac:dyDescent="0.3">
      <c r="A2" s="18" t="s">
        <v>14</v>
      </c>
      <c r="B2" s="29">
        <v>11</v>
      </c>
      <c r="C2" s="29">
        <v>4</v>
      </c>
      <c r="D2" s="29">
        <f>SUM(B2:C2)</f>
        <v>15</v>
      </c>
      <c r="E2" s="31">
        <v>0.73299999999999998</v>
      </c>
      <c r="F2" s="34">
        <v>0.30099999999999999</v>
      </c>
      <c r="G2" s="28" t="s">
        <v>6</v>
      </c>
      <c r="H2" s="29">
        <v>7</v>
      </c>
    </row>
    <row r="3" spans="1:8" ht="15.6" x14ac:dyDescent="0.3">
      <c r="A3" s="18" t="s">
        <v>43</v>
      </c>
      <c r="B3" s="29">
        <v>10</v>
      </c>
      <c r="C3" s="29">
        <v>6</v>
      </c>
      <c r="D3" s="29">
        <f t="shared" ref="D3:D11" si="0">SUM(B3:C3)</f>
        <v>16</v>
      </c>
      <c r="E3" s="31">
        <v>0.625</v>
      </c>
      <c r="F3" s="34">
        <v>0.372</v>
      </c>
      <c r="G3" s="28" t="s">
        <v>7</v>
      </c>
      <c r="H3" s="29">
        <v>6</v>
      </c>
    </row>
    <row r="4" spans="1:8" ht="15.6" x14ac:dyDescent="0.3">
      <c r="A4" s="18" t="s">
        <v>15</v>
      </c>
      <c r="B4" s="29">
        <v>9</v>
      </c>
      <c r="C4" s="29">
        <v>7</v>
      </c>
      <c r="D4" s="29">
        <f t="shared" si="0"/>
        <v>16</v>
      </c>
      <c r="E4" s="31">
        <v>0.56200000000000006</v>
      </c>
      <c r="F4" s="34">
        <v>0.12</v>
      </c>
      <c r="G4" s="28" t="s">
        <v>8</v>
      </c>
      <c r="H4" s="29">
        <v>7</v>
      </c>
    </row>
    <row r="5" spans="1:8" ht="15.6" x14ac:dyDescent="0.3">
      <c r="A5" s="18" t="s">
        <v>48</v>
      </c>
      <c r="B5" s="29">
        <v>9</v>
      </c>
      <c r="C5" s="29">
        <v>6</v>
      </c>
      <c r="D5" s="29">
        <f t="shared" si="0"/>
        <v>15</v>
      </c>
      <c r="E5" s="31">
        <v>0.6</v>
      </c>
      <c r="F5" s="34">
        <v>0.254</v>
      </c>
      <c r="G5" s="28" t="s">
        <v>9</v>
      </c>
      <c r="H5" s="29">
        <v>6</v>
      </c>
    </row>
    <row r="6" spans="1:8" ht="15.6" x14ac:dyDescent="0.3">
      <c r="A6" s="18" t="s">
        <v>23</v>
      </c>
      <c r="B6" s="29">
        <v>7</v>
      </c>
      <c r="C6" s="29">
        <v>7</v>
      </c>
      <c r="D6" s="29">
        <f t="shared" si="0"/>
        <v>14</v>
      </c>
      <c r="E6" s="31">
        <v>0.5</v>
      </c>
      <c r="F6" s="34">
        <v>0.39600000000000002</v>
      </c>
      <c r="G6" s="28" t="s">
        <v>10</v>
      </c>
      <c r="H6" s="29">
        <v>5</v>
      </c>
    </row>
    <row r="7" spans="1:8" ht="15.6" x14ac:dyDescent="0.3">
      <c r="A7" s="18" t="s">
        <v>53</v>
      </c>
      <c r="B7" s="29">
        <v>7</v>
      </c>
      <c r="C7" s="29">
        <v>7</v>
      </c>
      <c r="D7" s="29">
        <f t="shared" si="0"/>
        <v>14</v>
      </c>
      <c r="E7" s="31">
        <v>0.5</v>
      </c>
      <c r="F7" s="34">
        <v>-0.115</v>
      </c>
      <c r="G7" s="28" t="s">
        <v>10</v>
      </c>
      <c r="H7" s="29">
        <v>6</v>
      </c>
    </row>
    <row r="8" spans="1:8" ht="15.6" x14ac:dyDescent="0.3">
      <c r="A8" s="18" t="s">
        <v>54</v>
      </c>
      <c r="B8" s="29">
        <v>6</v>
      </c>
      <c r="C8" s="29">
        <v>8</v>
      </c>
      <c r="D8" s="29">
        <f t="shared" si="0"/>
        <v>14</v>
      </c>
      <c r="E8" s="31">
        <v>0.42799999999999999</v>
      </c>
      <c r="F8" s="34">
        <v>-0.21</v>
      </c>
      <c r="G8" s="28" t="s">
        <v>10</v>
      </c>
      <c r="H8" s="29">
        <v>3</v>
      </c>
    </row>
    <row r="9" spans="1:8" ht="15.6" x14ac:dyDescent="0.3">
      <c r="A9" s="18" t="s">
        <v>17</v>
      </c>
      <c r="B9" s="29">
        <v>6</v>
      </c>
      <c r="C9" s="29">
        <v>8</v>
      </c>
      <c r="D9" s="29">
        <f t="shared" si="0"/>
        <v>14</v>
      </c>
      <c r="E9" s="31">
        <v>0.42799999999999999</v>
      </c>
      <c r="F9" s="34">
        <v>-0.34200000000000003</v>
      </c>
      <c r="G9" s="28" t="s">
        <v>10</v>
      </c>
      <c r="H9" s="29">
        <v>3</v>
      </c>
    </row>
    <row r="10" spans="1:8" ht="15.6" x14ac:dyDescent="0.3">
      <c r="A10" s="18" t="s">
        <v>26</v>
      </c>
      <c r="B10" s="29">
        <v>5</v>
      </c>
      <c r="C10" s="29">
        <v>9</v>
      </c>
      <c r="D10" s="29">
        <f t="shared" si="0"/>
        <v>14</v>
      </c>
      <c r="E10" s="31">
        <v>0.35699999999999998</v>
      </c>
      <c r="F10" s="34">
        <v>-0.45</v>
      </c>
      <c r="G10" s="28" t="s">
        <v>10</v>
      </c>
      <c r="H10" s="29">
        <v>2</v>
      </c>
    </row>
    <row r="11" spans="1:8" ht="15.6" x14ac:dyDescent="0.3">
      <c r="A11" s="18" t="s">
        <v>58</v>
      </c>
      <c r="B11" s="29">
        <v>4</v>
      </c>
      <c r="C11" s="29">
        <v>9</v>
      </c>
      <c r="D11" s="29">
        <f t="shared" si="0"/>
        <v>13</v>
      </c>
      <c r="E11" s="31">
        <v>0.307</v>
      </c>
      <c r="F11" s="34">
        <v>-0.52</v>
      </c>
      <c r="G11" s="28" t="s">
        <v>10</v>
      </c>
      <c r="H11" s="29">
        <v>4</v>
      </c>
    </row>
  </sheetData>
  <sortState xmlns:xlrd2="http://schemas.microsoft.com/office/spreadsheetml/2017/richdata2" ref="A2:H13">
    <sortCondition descending="1" ref="B1:B13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18A68-5929-4B8C-A5A8-7BFEADBA4EF9}">
  <dimension ref="A1:I9"/>
  <sheetViews>
    <sheetView zoomScale="120" zoomScaleNormal="120" workbookViewId="0">
      <selection activeCell="H3" sqref="H3"/>
    </sheetView>
  </sheetViews>
  <sheetFormatPr defaultRowHeight="15.6" x14ac:dyDescent="0.3"/>
  <cols>
    <col min="1" max="1" width="18.33203125" style="38" bestFit="1" customWidth="1"/>
    <col min="2" max="2" width="13.6640625" style="38" customWidth="1"/>
    <col min="3" max="3" width="7" style="43" customWidth="1"/>
    <col min="4" max="4" width="12.5546875" style="39" customWidth="1"/>
    <col min="5" max="5" width="9.77734375" style="43" customWidth="1"/>
    <col min="6" max="6" width="15.6640625" style="39" customWidth="1"/>
    <col min="7" max="7" width="27.33203125" style="39" bestFit="1" customWidth="1"/>
    <col min="8" max="8" width="15.44140625" style="39" customWidth="1"/>
    <col min="9" max="9" width="32" style="38" customWidth="1"/>
    <col min="10" max="16384" width="8.88671875" style="38"/>
  </cols>
  <sheetData>
    <row r="1" spans="1:9" s="56" customFormat="1" x14ac:dyDescent="0.3">
      <c r="A1" s="56" t="s">
        <v>95</v>
      </c>
      <c r="B1" s="56" t="s">
        <v>0</v>
      </c>
      <c r="C1" s="49" t="s">
        <v>96</v>
      </c>
      <c r="D1" s="33" t="s">
        <v>97</v>
      </c>
      <c r="E1" s="49" t="s">
        <v>98</v>
      </c>
      <c r="F1" s="33" t="s">
        <v>99</v>
      </c>
      <c r="G1" s="33" t="s">
        <v>100</v>
      </c>
      <c r="H1" s="33"/>
      <c r="I1" s="13"/>
    </row>
    <row r="2" spans="1:9" x14ac:dyDescent="0.3">
      <c r="A2" s="38" t="s">
        <v>101</v>
      </c>
      <c r="B2" s="38" t="s">
        <v>48</v>
      </c>
      <c r="C2" s="45" t="s">
        <v>144</v>
      </c>
      <c r="D2" s="34">
        <v>156.16999999999999</v>
      </c>
      <c r="E2" s="45">
        <v>0</v>
      </c>
      <c r="F2" s="34">
        <v>0</v>
      </c>
      <c r="G2" s="34" t="s">
        <v>102</v>
      </c>
      <c r="H2" s="33"/>
      <c r="I2" s="29"/>
    </row>
    <row r="3" spans="1:9" ht="31.2" x14ac:dyDescent="0.3">
      <c r="A3" s="38" t="s">
        <v>103</v>
      </c>
      <c r="B3" s="38" t="s">
        <v>15</v>
      </c>
      <c r="C3" s="45" t="s">
        <v>145</v>
      </c>
      <c r="D3" s="34">
        <v>167.91</v>
      </c>
      <c r="E3" s="45">
        <v>0</v>
      </c>
      <c r="F3" s="34">
        <v>0</v>
      </c>
      <c r="G3" s="34" t="s">
        <v>104</v>
      </c>
      <c r="H3" s="33"/>
      <c r="I3" s="29"/>
    </row>
    <row r="4" spans="1:9" ht="31.2" x14ac:dyDescent="0.3">
      <c r="A4" s="38" t="s">
        <v>105</v>
      </c>
      <c r="B4" s="38" t="s">
        <v>14</v>
      </c>
      <c r="C4" s="45" t="s">
        <v>146</v>
      </c>
      <c r="D4" s="34">
        <v>144.71</v>
      </c>
      <c r="E4" s="45">
        <v>0</v>
      </c>
      <c r="F4" s="34">
        <v>0</v>
      </c>
      <c r="G4" s="34" t="s">
        <v>106</v>
      </c>
      <c r="H4" s="33"/>
      <c r="I4" s="29"/>
    </row>
    <row r="5" spans="1:9" ht="31.2" x14ac:dyDescent="0.3">
      <c r="A5" s="38" t="s">
        <v>107</v>
      </c>
      <c r="B5" s="38" t="s">
        <v>43</v>
      </c>
      <c r="C5" s="45" t="s">
        <v>147</v>
      </c>
      <c r="D5" s="34">
        <v>175.07</v>
      </c>
      <c r="E5" s="45">
        <v>0</v>
      </c>
      <c r="F5" s="34">
        <v>0</v>
      </c>
      <c r="G5" s="34" t="s">
        <v>108</v>
      </c>
      <c r="H5" s="33"/>
      <c r="I5" s="29"/>
    </row>
    <row r="6" spans="1:9" x14ac:dyDescent="0.3">
      <c r="A6" s="38" t="s">
        <v>109</v>
      </c>
      <c r="B6" s="38" t="s">
        <v>48</v>
      </c>
      <c r="C6" s="45">
        <v>0</v>
      </c>
      <c r="D6" s="34">
        <v>0</v>
      </c>
      <c r="E6" s="45">
        <v>25</v>
      </c>
      <c r="F6" s="34">
        <v>8.27</v>
      </c>
      <c r="G6" s="34" t="s">
        <v>110</v>
      </c>
      <c r="H6" s="33"/>
      <c r="I6" s="29"/>
    </row>
    <row r="7" spans="1:9" x14ac:dyDescent="0.3">
      <c r="A7" s="38" t="s">
        <v>111</v>
      </c>
      <c r="B7" s="38" t="s">
        <v>26</v>
      </c>
      <c r="C7" s="45">
        <v>0</v>
      </c>
      <c r="D7" s="34">
        <v>0</v>
      </c>
      <c r="E7" s="45">
        <v>24</v>
      </c>
      <c r="F7" s="34">
        <v>8.16</v>
      </c>
      <c r="G7" s="34" t="s">
        <v>112</v>
      </c>
      <c r="H7" s="33"/>
      <c r="I7" s="29"/>
    </row>
    <row r="8" spans="1:9" ht="31.2" x14ac:dyDescent="0.3">
      <c r="A8" s="38" t="s">
        <v>113</v>
      </c>
      <c r="B8" s="38" t="s">
        <v>14</v>
      </c>
      <c r="C8" s="45">
        <v>0</v>
      </c>
      <c r="D8" s="34">
        <v>0</v>
      </c>
      <c r="E8" s="45">
        <v>22</v>
      </c>
      <c r="F8" s="34">
        <v>8.77</v>
      </c>
      <c r="G8" s="34" t="s">
        <v>114</v>
      </c>
      <c r="H8" s="33"/>
      <c r="I8" s="29"/>
    </row>
    <row r="9" spans="1:9" x14ac:dyDescent="0.3">
      <c r="A9" s="38" t="s">
        <v>115</v>
      </c>
      <c r="B9" s="38" t="s">
        <v>53</v>
      </c>
      <c r="C9" s="45" t="s">
        <v>148</v>
      </c>
      <c r="D9" s="34">
        <v>163.69999999999999</v>
      </c>
      <c r="E9" s="45">
        <v>8</v>
      </c>
      <c r="F9" s="34">
        <v>9.4499999999999993</v>
      </c>
      <c r="G9" s="34" t="s">
        <v>116</v>
      </c>
      <c r="H9" s="33"/>
      <c r="I9" s="2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610D8-C06F-4EC6-AF3C-2EF67A7EAA41}">
  <dimension ref="A1:D9"/>
  <sheetViews>
    <sheetView zoomScale="150" zoomScaleNormal="150" workbookViewId="0">
      <selection activeCell="E5" sqref="E5"/>
    </sheetView>
  </sheetViews>
  <sheetFormatPr defaultRowHeight="14.4" x14ac:dyDescent="0.3"/>
  <cols>
    <col min="1" max="1" width="15.33203125" style="16" customWidth="1"/>
    <col min="2" max="2" width="25.21875" style="18" customWidth="1"/>
    <col min="3" max="3" width="6.33203125" style="18" customWidth="1"/>
    <col min="4" max="4" width="6.21875" style="19" customWidth="1"/>
    <col min="5" max="5" width="22.33203125" customWidth="1"/>
    <col min="6" max="6" width="21.6640625" customWidth="1"/>
  </cols>
  <sheetData>
    <row r="1" spans="1:4" s="9" customFormat="1" x14ac:dyDescent="0.3">
      <c r="A1" s="14" t="s">
        <v>0</v>
      </c>
      <c r="B1" s="17" t="s">
        <v>149</v>
      </c>
      <c r="C1" s="17" t="s">
        <v>40</v>
      </c>
      <c r="D1" s="17" t="s">
        <v>138</v>
      </c>
    </row>
    <row r="2" spans="1:4" x14ac:dyDescent="0.3">
      <c r="A2" s="10" t="s">
        <v>14</v>
      </c>
      <c r="B2" s="15">
        <v>117</v>
      </c>
      <c r="C2" s="15">
        <v>2025</v>
      </c>
      <c r="D2" s="15">
        <v>1</v>
      </c>
    </row>
    <row r="3" spans="1:4" x14ac:dyDescent="0.3">
      <c r="A3" s="10" t="s">
        <v>58</v>
      </c>
      <c r="B3" s="15">
        <v>109</v>
      </c>
      <c r="C3" s="15">
        <v>2025</v>
      </c>
      <c r="D3" s="15">
        <v>2</v>
      </c>
    </row>
    <row r="4" spans="1:4" x14ac:dyDescent="0.3">
      <c r="A4" s="10" t="s">
        <v>54</v>
      </c>
      <c r="B4" s="15">
        <v>85</v>
      </c>
      <c r="C4" s="15">
        <v>2025</v>
      </c>
      <c r="D4" s="15">
        <v>3</v>
      </c>
    </row>
    <row r="5" spans="1:4" x14ac:dyDescent="0.3">
      <c r="A5" s="10" t="s">
        <v>17</v>
      </c>
      <c r="B5" s="15">
        <v>81</v>
      </c>
      <c r="C5" s="15">
        <v>2025</v>
      </c>
      <c r="D5" s="15">
        <v>4</v>
      </c>
    </row>
    <row r="6" spans="1:4" x14ac:dyDescent="0.3">
      <c r="A6" s="10" t="s">
        <v>23</v>
      </c>
      <c r="B6" s="15">
        <v>80</v>
      </c>
      <c r="C6" s="15">
        <v>2025</v>
      </c>
      <c r="D6" s="15">
        <v>5</v>
      </c>
    </row>
    <row r="7" spans="1:4" x14ac:dyDescent="0.3">
      <c r="A7" s="10" t="s">
        <v>48</v>
      </c>
      <c r="B7" s="15">
        <v>69</v>
      </c>
      <c r="C7" s="15">
        <v>2025</v>
      </c>
      <c r="D7" s="15">
        <v>6</v>
      </c>
    </row>
    <row r="8" spans="1:4" ht="19.8" customHeight="1" x14ac:dyDescent="0.3">
      <c r="A8" s="10" t="s">
        <v>43</v>
      </c>
      <c r="B8" s="15">
        <v>68</v>
      </c>
      <c r="C8" s="15">
        <v>2025</v>
      </c>
      <c r="D8" s="15">
        <v>7</v>
      </c>
    </row>
    <row r="9" spans="1:4" x14ac:dyDescent="0.3">
      <c r="A9" s="10" t="s">
        <v>53</v>
      </c>
      <c r="B9" s="15">
        <v>60</v>
      </c>
      <c r="C9" s="15">
        <v>2025</v>
      </c>
      <c r="D9" s="15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E62DD-A99D-4DC8-906E-F6B1EDD2C0AB}">
  <dimension ref="A1:R21"/>
  <sheetViews>
    <sheetView zoomScale="117" zoomScaleNormal="117" workbookViewId="0">
      <selection sqref="A1:G11"/>
    </sheetView>
  </sheetViews>
  <sheetFormatPr defaultRowHeight="15.6" x14ac:dyDescent="0.3"/>
  <cols>
    <col min="1" max="1" width="13.44140625" style="8" customWidth="1"/>
    <col min="2" max="2" width="15.5546875" style="8" customWidth="1"/>
    <col min="3" max="3" width="17.21875" style="8" bestFit="1" customWidth="1"/>
    <col min="4" max="4" width="9.77734375" style="8" bestFit="1" customWidth="1"/>
    <col min="5" max="5" width="19.6640625" style="43" customWidth="1"/>
    <col min="6" max="6" width="17.21875" style="43" customWidth="1"/>
    <col min="7" max="7" width="7" style="38" customWidth="1"/>
    <col min="8" max="8" width="9" style="8" customWidth="1"/>
    <col min="9" max="9" width="17.88671875" style="8" customWidth="1"/>
    <col min="10" max="10" width="11" style="8" customWidth="1"/>
    <col min="11" max="11" width="15.6640625" style="8" customWidth="1"/>
    <col min="12" max="12" width="16.88671875" style="8" customWidth="1"/>
    <col min="13" max="13" width="17.5546875" style="8" customWidth="1"/>
    <col min="14" max="16384" width="8.88671875" style="8"/>
  </cols>
  <sheetData>
    <row r="1" spans="1:18" s="12" customFormat="1" ht="16.2" thickBot="1" x14ac:dyDescent="0.35">
      <c r="A1" s="12" t="s">
        <v>0</v>
      </c>
      <c r="B1" s="12" t="s">
        <v>31</v>
      </c>
      <c r="C1" s="11" t="s">
        <v>117</v>
      </c>
      <c r="D1" s="11" t="s">
        <v>135</v>
      </c>
      <c r="E1" s="40" t="s">
        <v>140</v>
      </c>
      <c r="F1" s="40" t="s">
        <v>141</v>
      </c>
      <c r="G1" s="61" t="s">
        <v>142</v>
      </c>
      <c r="H1" s="11"/>
      <c r="K1" s="13"/>
      <c r="L1" s="13"/>
      <c r="M1" s="13"/>
      <c r="N1" s="13"/>
      <c r="O1" s="13"/>
      <c r="P1" s="13"/>
      <c r="Q1" s="13"/>
      <c r="R1" s="13"/>
    </row>
    <row r="2" spans="1:18" ht="16.2" thickBot="1" x14ac:dyDescent="0.35">
      <c r="A2" s="8" t="s">
        <v>14</v>
      </c>
      <c r="B2" s="36" t="s">
        <v>28</v>
      </c>
      <c r="C2" s="37" t="s">
        <v>25</v>
      </c>
      <c r="D2" s="37" t="s">
        <v>139</v>
      </c>
      <c r="E2" s="41">
        <v>80</v>
      </c>
      <c r="F2" s="41">
        <v>3</v>
      </c>
      <c r="G2" s="62">
        <v>2025</v>
      </c>
      <c r="H2" s="7"/>
      <c r="K2" s="6"/>
      <c r="L2" s="6"/>
      <c r="M2" s="6"/>
      <c r="N2" s="6"/>
      <c r="O2" s="6"/>
      <c r="P2" s="6"/>
      <c r="Q2" s="6"/>
      <c r="R2" s="6"/>
    </row>
    <row r="3" spans="1:18" ht="16.2" thickBot="1" x14ac:dyDescent="0.35">
      <c r="A3" s="8" t="s">
        <v>26</v>
      </c>
      <c r="B3" s="36" t="s">
        <v>27</v>
      </c>
      <c r="C3" s="37" t="s">
        <v>25</v>
      </c>
      <c r="D3" s="37" t="s">
        <v>139</v>
      </c>
      <c r="E3" s="41">
        <v>75</v>
      </c>
      <c r="F3" s="41">
        <v>3</v>
      </c>
      <c r="G3" s="62">
        <v>2025</v>
      </c>
      <c r="H3" s="7"/>
      <c r="K3" s="5"/>
      <c r="L3" s="6"/>
      <c r="M3" s="6"/>
      <c r="N3" s="6"/>
      <c r="O3" s="6"/>
      <c r="P3" s="6"/>
      <c r="Q3" s="6"/>
      <c r="R3" s="6"/>
    </row>
    <row r="4" spans="1:18" ht="16.2" thickBot="1" x14ac:dyDescent="0.35">
      <c r="A4" s="8" t="s">
        <v>15</v>
      </c>
      <c r="B4" s="36" t="s">
        <v>20</v>
      </c>
      <c r="C4" s="37" t="s">
        <v>19</v>
      </c>
      <c r="D4" s="37" t="s">
        <v>139</v>
      </c>
      <c r="E4" s="41">
        <v>65</v>
      </c>
      <c r="F4" s="41">
        <v>5</v>
      </c>
      <c r="G4" s="62">
        <v>2025</v>
      </c>
      <c r="H4" s="7"/>
      <c r="K4" s="6"/>
      <c r="L4" s="6"/>
      <c r="M4" s="6"/>
      <c r="N4" s="6"/>
      <c r="O4" s="6"/>
      <c r="P4" s="6"/>
      <c r="Q4" s="6"/>
      <c r="R4" s="6"/>
    </row>
    <row r="5" spans="1:18" ht="16.2" thickBot="1" x14ac:dyDescent="0.35">
      <c r="A5" s="8" t="s">
        <v>23</v>
      </c>
      <c r="B5" s="36" t="s">
        <v>24</v>
      </c>
      <c r="C5" s="37" t="s">
        <v>22</v>
      </c>
      <c r="D5" s="37" t="s">
        <v>139</v>
      </c>
      <c r="E5" s="41">
        <v>50</v>
      </c>
      <c r="F5" s="41">
        <v>2</v>
      </c>
      <c r="G5" s="62">
        <v>2025</v>
      </c>
      <c r="H5" s="7"/>
      <c r="K5" s="6"/>
      <c r="L5" s="6"/>
      <c r="M5" s="6"/>
      <c r="N5" s="6"/>
      <c r="O5" s="6"/>
      <c r="P5" s="6"/>
      <c r="Q5" s="6"/>
      <c r="R5" s="6"/>
    </row>
    <row r="6" spans="1:18" ht="16.2" thickBot="1" x14ac:dyDescent="0.35">
      <c r="A6" s="8" t="s">
        <v>48</v>
      </c>
      <c r="B6" s="36" t="s">
        <v>21</v>
      </c>
      <c r="C6" s="37" t="s">
        <v>11</v>
      </c>
      <c r="D6" s="37" t="s">
        <v>136</v>
      </c>
      <c r="E6" s="41">
        <v>45</v>
      </c>
      <c r="F6" s="41">
        <v>3</v>
      </c>
      <c r="G6" s="62">
        <v>2025</v>
      </c>
      <c r="H6" s="7"/>
      <c r="K6" s="6"/>
      <c r="L6" s="6"/>
      <c r="M6" s="6"/>
      <c r="N6" s="6"/>
      <c r="O6" s="6"/>
      <c r="P6" s="6"/>
      <c r="Q6" s="6"/>
      <c r="R6" s="6"/>
    </row>
    <row r="7" spans="1:18" ht="16.2" thickBot="1" x14ac:dyDescent="0.35">
      <c r="A7" s="8" t="s">
        <v>54</v>
      </c>
      <c r="B7" s="36" t="s">
        <v>21</v>
      </c>
      <c r="C7" s="37" t="s">
        <v>11</v>
      </c>
      <c r="D7" s="37" t="s">
        <v>136</v>
      </c>
      <c r="E7" s="41">
        <v>45</v>
      </c>
      <c r="F7" s="41">
        <v>3</v>
      </c>
      <c r="G7" s="62">
        <v>2025</v>
      </c>
      <c r="H7" s="7"/>
      <c r="K7" s="6"/>
      <c r="L7" s="6"/>
      <c r="M7" s="6"/>
    </row>
    <row r="8" spans="1:18" ht="16.2" thickBot="1" x14ac:dyDescent="0.35">
      <c r="A8" s="8" t="s">
        <v>43</v>
      </c>
      <c r="B8" s="36" t="s">
        <v>21</v>
      </c>
      <c r="C8" s="37" t="s">
        <v>11</v>
      </c>
      <c r="D8" s="37" t="s">
        <v>136</v>
      </c>
      <c r="E8" s="41">
        <v>45</v>
      </c>
      <c r="F8" s="41">
        <v>3</v>
      </c>
      <c r="G8" s="62">
        <v>2025</v>
      </c>
      <c r="H8" s="7"/>
      <c r="K8" s="6"/>
      <c r="L8" s="6"/>
      <c r="M8" s="6"/>
    </row>
    <row r="9" spans="1:18" ht="16.2" thickBot="1" x14ac:dyDescent="0.35">
      <c r="A9" s="8" t="s">
        <v>17</v>
      </c>
      <c r="B9" s="36" t="s">
        <v>18</v>
      </c>
      <c r="C9" s="37" t="s">
        <v>16</v>
      </c>
      <c r="D9" s="37" t="s">
        <v>136</v>
      </c>
      <c r="E9" s="41">
        <v>35</v>
      </c>
      <c r="F9" s="41">
        <v>2</v>
      </c>
      <c r="G9" s="62">
        <v>2025</v>
      </c>
      <c r="H9" s="7"/>
      <c r="K9" s="6"/>
      <c r="L9" s="6"/>
      <c r="M9" s="6"/>
    </row>
    <row r="10" spans="1:18" ht="16.2" thickBot="1" x14ac:dyDescent="0.35">
      <c r="A10" s="8" t="s">
        <v>58</v>
      </c>
      <c r="B10" s="36" t="s">
        <v>13</v>
      </c>
      <c r="C10" s="37" t="s">
        <v>12</v>
      </c>
      <c r="D10" s="37" t="s">
        <v>136</v>
      </c>
      <c r="E10" s="41">
        <v>30</v>
      </c>
      <c r="F10" s="41">
        <v>3</v>
      </c>
      <c r="G10" s="62">
        <v>2025</v>
      </c>
      <c r="H10" s="7"/>
      <c r="K10" s="6"/>
      <c r="L10" s="6"/>
      <c r="M10" s="6"/>
    </row>
    <row r="11" spans="1:18" ht="16.2" thickBot="1" x14ac:dyDescent="0.35">
      <c r="A11" s="8" t="s">
        <v>53</v>
      </c>
      <c r="B11" s="36" t="s">
        <v>134</v>
      </c>
      <c r="C11" s="37" t="s">
        <v>11</v>
      </c>
      <c r="D11" s="37" t="s">
        <v>139</v>
      </c>
      <c r="E11" s="41">
        <v>30</v>
      </c>
      <c r="F11" s="41">
        <v>3</v>
      </c>
      <c r="G11" s="62">
        <v>2025</v>
      </c>
      <c r="H11" s="7"/>
      <c r="K11" s="6"/>
      <c r="L11" s="6"/>
      <c r="M11" s="6"/>
    </row>
    <row r="12" spans="1:18" x14ac:dyDescent="0.3">
      <c r="C12" s="6"/>
      <c r="D12" s="6"/>
      <c r="E12" s="42"/>
      <c r="F12" s="42"/>
      <c r="G12" s="6"/>
      <c r="H12" s="6"/>
      <c r="I12" s="6"/>
      <c r="J12" s="6"/>
      <c r="K12" s="6"/>
      <c r="L12" s="6"/>
      <c r="M12" s="6"/>
    </row>
    <row r="13" spans="1:18" x14ac:dyDescent="0.3">
      <c r="C13" s="6"/>
      <c r="D13" s="6"/>
      <c r="E13" s="42"/>
      <c r="F13" s="42"/>
      <c r="G13" s="6"/>
      <c r="H13" s="6"/>
      <c r="I13" s="6"/>
      <c r="J13" s="6"/>
      <c r="K13" s="6"/>
      <c r="L13" s="6"/>
      <c r="M13" s="6"/>
    </row>
    <row r="14" spans="1:18" x14ac:dyDescent="0.3">
      <c r="E14" s="42"/>
      <c r="F14" s="42"/>
      <c r="G14" s="6"/>
      <c r="H14" s="6"/>
      <c r="I14" s="6"/>
      <c r="J14" s="6"/>
    </row>
    <row r="15" spans="1:18" x14ac:dyDescent="0.3">
      <c r="E15" s="42"/>
      <c r="F15" s="42"/>
      <c r="G15" s="6"/>
      <c r="H15" s="6"/>
      <c r="I15" s="6"/>
      <c r="J15" s="6"/>
    </row>
    <row r="16" spans="1:18" x14ac:dyDescent="0.3">
      <c r="E16" s="42"/>
      <c r="F16" s="42"/>
      <c r="G16" s="6"/>
      <c r="H16" s="6"/>
      <c r="I16" s="6"/>
      <c r="J16" s="6"/>
    </row>
    <row r="17" spans="5:10" x14ac:dyDescent="0.3">
      <c r="E17" s="42"/>
      <c r="F17" s="42"/>
      <c r="G17" s="6"/>
      <c r="H17" s="6"/>
      <c r="I17" s="6"/>
      <c r="J17" s="6"/>
    </row>
    <row r="18" spans="5:10" x14ac:dyDescent="0.3">
      <c r="E18" s="42"/>
      <c r="F18" s="42"/>
      <c r="G18" s="6"/>
      <c r="H18" s="6"/>
      <c r="I18" s="6"/>
      <c r="J18" s="6"/>
    </row>
    <row r="19" spans="5:10" x14ac:dyDescent="0.3">
      <c r="E19" s="42"/>
      <c r="F19" s="42"/>
      <c r="G19" s="6"/>
      <c r="H19" s="6"/>
      <c r="I19" s="6"/>
      <c r="J19" s="6"/>
    </row>
    <row r="20" spans="5:10" x14ac:dyDescent="0.3">
      <c r="E20" s="42"/>
      <c r="F20" s="42"/>
      <c r="G20" s="6"/>
      <c r="H20" s="6"/>
      <c r="I20" s="6"/>
      <c r="J20" s="6"/>
    </row>
    <row r="21" spans="5:10" x14ac:dyDescent="0.3">
      <c r="E21" s="42"/>
      <c r="F21" s="42"/>
      <c r="G21" s="6"/>
      <c r="H21" s="6"/>
      <c r="I21" s="6"/>
      <c r="J21" s="6"/>
    </row>
  </sheetData>
  <sortState xmlns:xlrd2="http://schemas.microsoft.com/office/spreadsheetml/2017/richdata2" ref="A2:G21">
    <sortCondition descending="1" ref="E1:E21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2CF1C-23FE-4564-8CC9-8D4A588BC7AC}">
  <dimension ref="A1:E11"/>
  <sheetViews>
    <sheetView zoomScale="150" zoomScaleNormal="150" workbookViewId="0">
      <selection sqref="A1:E11"/>
    </sheetView>
  </sheetViews>
  <sheetFormatPr defaultRowHeight="14.4" x14ac:dyDescent="0.3"/>
  <cols>
    <col min="1" max="1" width="12.33203125" customWidth="1"/>
    <col min="2" max="2" width="29.6640625" style="48" bestFit="1" customWidth="1"/>
    <col min="3" max="3" width="25.88671875" style="48" customWidth="1"/>
    <col min="4" max="4" width="16" style="20" customWidth="1"/>
    <col min="5" max="5" width="14.88671875" style="20" customWidth="1"/>
    <col min="6" max="6" width="16.109375" customWidth="1"/>
    <col min="7" max="7" width="15.44140625" customWidth="1"/>
  </cols>
  <sheetData>
    <row r="1" spans="1:5" s="9" customFormat="1" ht="15.6" x14ac:dyDescent="0.3">
      <c r="A1" s="9" t="s">
        <v>0</v>
      </c>
      <c r="B1" s="46" t="s">
        <v>35</v>
      </c>
      <c r="C1" s="46" t="s">
        <v>34</v>
      </c>
      <c r="D1" s="44" t="s">
        <v>33</v>
      </c>
      <c r="E1" s="44" t="s">
        <v>32</v>
      </c>
    </row>
    <row r="2" spans="1:5" ht="15.6" x14ac:dyDescent="0.3">
      <c r="A2" t="s">
        <v>26</v>
      </c>
      <c r="B2" s="47">
        <v>43.5</v>
      </c>
      <c r="C2" s="47">
        <v>92.6</v>
      </c>
      <c r="D2" s="45">
        <v>143</v>
      </c>
      <c r="E2" s="45">
        <v>1</v>
      </c>
    </row>
    <row r="3" spans="1:5" ht="15.6" x14ac:dyDescent="0.3">
      <c r="A3" t="s">
        <v>15</v>
      </c>
      <c r="B3" s="47">
        <v>40.1</v>
      </c>
      <c r="C3" s="47">
        <v>85</v>
      </c>
      <c r="D3" s="45">
        <v>157</v>
      </c>
      <c r="E3" s="45">
        <v>4</v>
      </c>
    </row>
    <row r="4" spans="1:5" ht="15.6" x14ac:dyDescent="0.3">
      <c r="A4" t="s">
        <v>14</v>
      </c>
      <c r="B4" s="47">
        <v>35.5</v>
      </c>
      <c r="C4" s="47">
        <v>89.5</v>
      </c>
      <c r="D4" s="45">
        <v>150</v>
      </c>
      <c r="E4" s="45">
        <v>7</v>
      </c>
    </row>
    <row r="5" spans="1:5" ht="15.6" x14ac:dyDescent="0.3">
      <c r="A5" t="s">
        <v>58</v>
      </c>
      <c r="B5" s="47">
        <v>30.7</v>
      </c>
      <c r="C5" s="47">
        <v>75.2</v>
      </c>
      <c r="D5" s="45">
        <v>126</v>
      </c>
      <c r="E5" s="45">
        <v>10</v>
      </c>
    </row>
    <row r="6" spans="1:5" ht="15.6" x14ac:dyDescent="0.3">
      <c r="A6" t="s">
        <v>23</v>
      </c>
      <c r="B6" s="47">
        <v>16.2</v>
      </c>
      <c r="C6" s="47">
        <v>70</v>
      </c>
      <c r="D6" s="45">
        <v>136</v>
      </c>
      <c r="E6" s="45">
        <v>6</v>
      </c>
    </row>
    <row r="7" spans="1:5" ht="15.6" x14ac:dyDescent="0.3">
      <c r="A7" t="s">
        <v>43</v>
      </c>
      <c r="B7" s="47">
        <v>16.100000000000001</v>
      </c>
      <c r="C7" s="47">
        <v>66.400000000000006</v>
      </c>
      <c r="D7" s="45">
        <v>173</v>
      </c>
      <c r="E7" s="45">
        <v>2</v>
      </c>
    </row>
    <row r="8" spans="1:5" ht="15.6" x14ac:dyDescent="0.3">
      <c r="A8" t="s">
        <v>54</v>
      </c>
      <c r="B8" s="47">
        <v>15.4</v>
      </c>
      <c r="C8" s="47">
        <v>65.8</v>
      </c>
      <c r="D8" s="45">
        <v>139</v>
      </c>
      <c r="E8" s="45">
        <v>3</v>
      </c>
    </row>
    <row r="9" spans="1:5" ht="15.6" x14ac:dyDescent="0.3">
      <c r="A9" t="s">
        <v>17</v>
      </c>
      <c r="B9" s="47">
        <v>13.2</v>
      </c>
      <c r="C9" s="47">
        <v>65.099999999999994</v>
      </c>
      <c r="D9" s="45">
        <v>137</v>
      </c>
      <c r="E9" s="45">
        <v>5</v>
      </c>
    </row>
    <row r="10" spans="1:5" ht="15.6" x14ac:dyDescent="0.3">
      <c r="A10" t="s">
        <v>48</v>
      </c>
      <c r="B10" s="47">
        <v>7.1</v>
      </c>
      <c r="C10" s="47">
        <v>64.5</v>
      </c>
      <c r="D10" s="45">
        <v>135</v>
      </c>
      <c r="E10" s="45">
        <v>9</v>
      </c>
    </row>
    <row r="11" spans="1:5" ht="15.6" x14ac:dyDescent="0.3">
      <c r="A11" t="s">
        <v>53</v>
      </c>
      <c r="B11" s="47">
        <v>5.5</v>
      </c>
      <c r="C11" s="47">
        <v>61.2</v>
      </c>
      <c r="D11" s="45">
        <v>131</v>
      </c>
      <c r="E11" s="45">
        <v>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F8D9-C541-430B-BBB5-3A2060019161}">
  <dimension ref="A1:E6"/>
  <sheetViews>
    <sheetView zoomScale="150" zoomScaleNormal="150" workbookViewId="0">
      <selection activeCell="D9" sqref="D9"/>
    </sheetView>
  </sheetViews>
  <sheetFormatPr defaultRowHeight="15.6" x14ac:dyDescent="0.3"/>
  <cols>
    <col min="1" max="1" width="6.77734375" style="43" bestFit="1" customWidth="1"/>
    <col min="2" max="2" width="16.109375" style="39" customWidth="1"/>
    <col min="3" max="3" width="24.77734375" style="43" customWidth="1"/>
    <col min="4" max="4" width="29.77734375" style="43" customWidth="1"/>
    <col min="5" max="5" width="24.5546875" style="52" customWidth="1"/>
    <col min="6" max="16384" width="8.88671875" style="8"/>
  </cols>
  <sheetData>
    <row r="1" spans="1:5" s="2" customFormat="1" ht="31.2" x14ac:dyDescent="0.3">
      <c r="A1" s="49" t="s">
        <v>40</v>
      </c>
      <c r="B1" s="33" t="s">
        <v>39</v>
      </c>
      <c r="C1" s="49" t="s">
        <v>38</v>
      </c>
      <c r="D1" s="49" t="s">
        <v>37</v>
      </c>
      <c r="E1" s="50" t="s">
        <v>36</v>
      </c>
    </row>
    <row r="2" spans="1:5" x14ac:dyDescent="0.3">
      <c r="A2" s="45">
        <v>2021</v>
      </c>
      <c r="B2" s="34">
        <v>3.8</v>
      </c>
      <c r="C2" s="45">
        <v>350</v>
      </c>
      <c r="D2" s="45">
        <v>0.6</v>
      </c>
      <c r="E2" s="51">
        <v>0.1</v>
      </c>
    </row>
    <row r="3" spans="1:5" x14ac:dyDescent="0.3">
      <c r="A3" s="45">
        <v>2022</v>
      </c>
      <c r="B3" s="34">
        <v>3.4</v>
      </c>
      <c r="C3" s="45">
        <v>400</v>
      </c>
      <c r="D3" s="45">
        <v>1</v>
      </c>
      <c r="E3" s="51">
        <v>0.12</v>
      </c>
    </row>
    <row r="4" spans="1:5" x14ac:dyDescent="0.3">
      <c r="A4" s="45">
        <v>2023</v>
      </c>
      <c r="B4" s="34">
        <v>4.9000000000000004</v>
      </c>
      <c r="C4" s="45">
        <v>500</v>
      </c>
      <c r="D4" s="45">
        <v>1.2</v>
      </c>
      <c r="E4" s="51">
        <v>0.18</v>
      </c>
    </row>
    <row r="5" spans="1:5" x14ac:dyDescent="0.3">
      <c r="A5" s="45">
        <v>2024</v>
      </c>
      <c r="B5" s="34">
        <v>5</v>
      </c>
      <c r="C5" s="45">
        <v>620</v>
      </c>
      <c r="D5" s="45">
        <v>1.3</v>
      </c>
      <c r="E5" s="51">
        <v>0.15</v>
      </c>
    </row>
    <row r="6" spans="1:5" x14ac:dyDescent="0.3">
      <c r="A6" s="45">
        <v>2025</v>
      </c>
      <c r="B6" s="34">
        <v>5.2</v>
      </c>
      <c r="C6" s="45">
        <v>700</v>
      </c>
      <c r="D6" s="45">
        <v>1.45</v>
      </c>
      <c r="E6" s="51">
        <v>0.2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4771E-6970-47E6-8E70-47563DA26364}">
  <dimension ref="A1:M19"/>
  <sheetViews>
    <sheetView tabSelected="1" zoomScale="130" zoomScaleNormal="130" zoomScaleSheetLayoutView="120" workbookViewId="0">
      <selection activeCell="E14" sqref="E14"/>
    </sheetView>
  </sheetViews>
  <sheetFormatPr defaultRowHeight="15.6" x14ac:dyDescent="0.3"/>
  <cols>
    <col min="1" max="1" width="13.88671875" style="55" bestFit="1" customWidth="1"/>
    <col min="2" max="2" width="14.21875" style="55" customWidth="1"/>
    <col min="3" max="3" width="22.44140625" style="43" customWidth="1"/>
    <col min="4" max="4" width="16.44140625" style="43" customWidth="1"/>
    <col min="5" max="5" width="24.88671875" style="43" customWidth="1"/>
    <col min="6" max="6" width="19" style="55" bestFit="1" customWidth="1"/>
    <col min="7" max="7" width="26.109375" style="38" bestFit="1" customWidth="1"/>
    <col min="8" max="8" width="18.44140625" style="38" bestFit="1" customWidth="1"/>
    <col min="10" max="10" width="18.6640625" style="38" bestFit="1" customWidth="1"/>
    <col min="11" max="11" width="20.77734375" style="38" bestFit="1" customWidth="1"/>
    <col min="12" max="12" width="28" style="38" bestFit="1" customWidth="1"/>
    <col min="13" max="13" width="12.88671875" style="38" customWidth="1"/>
    <col min="14" max="16384" width="8.88671875" style="38"/>
  </cols>
  <sheetData>
    <row r="1" spans="1:13" s="56" customFormat="1" x14ac:dyDescent="0.3">
      <c r="A1" s="53" t="s">
        <v>40</v>
      </c>
      <c r="B1" s="13" t="s">
        <v>86</v>
      </c>
      <c r="C1" s="49" t="s">
        <v>150</v>
      </c>
      <c r="D1" s="49" t="s">
        <v>118</v>
      </c>
      <c r="E1" s="49" t="s">
        <v>143</v>
      </c>
      <c r="F1" s="53" t="s">
        <v>119</v>
      </c>
      <c r="G1" s="13" t="s">
        <v>120</v>
      </c>
      <c r="H1" s="13"/>
      <c r="J1" s="13"/>
    </row>
    <row r="2" spans="1:13" x14ac:dyDescent="0.3">
      <c r="A2" s="54" t="s">
        <v>87</v>
      </c>
      <c r="B2" s="54" t="s">
        <v>88</v>
      </c>
      <c r="C2" s="45">
        <v>40</v>
      </c>
      <c r="D2" s="45">
        <v>200</v>
      </c>
      <c r="E2" s="45">
        <v>5</v>
      </c>
      <c r="F2" s="54" t="s">
        <v>121</v>
      </c>
      <c r="G2" s="29" t="s">
        <v>122</v>
      </c>
      <c r="H2" s="29"/>
      <c r="I2" s="38"/>
      <c r="J2" s="29"/>
    </row>
    <row r="3" spans="1:13" x14ac:dyDescent="0.3">
      <c r="A3" s="54" t="s">
        <v>89</v>
      </c>
      <c r="B3" s="54" t="s">
        <v>90</v>
      </c>
      <c r="C3" s="45">
        <v>79.400000000000006</v>
      </c>
      <c r="D3" s="45">
        <v>397</v>
      </c>
      <c r="E3" s="45">
        <v>3</v>
      </c>
      <c r="F3" s="54" t="s">
        <v>123</v>
      </c>
      <c r="G3" s="29" t="s">
        <v>124</v>
      </c>
      <c r="H3" s="29"/>
      <c r="I3" s="38"/>
      <c r="J3" s="29"/>
    </row>
    <row r="4" spans="1:13" x14ac:dyDescent="0.3">
      <c r="A4" s="54" t="s">
        <v>91</v>
      </c>
      <c r="B4" s="54" t="s">
        <v>92</v>
      </c>
      <c r="C4" s="45">
        <v>100</v>
      </c>
      <c r="D4" s="45">
        <v>200</v>
      </c>
      <c r="E4" s="45">
        <v>2</v>
      </c>
      <c r="F4" s="54" t="s">
        <v>125</v>
      </c>
      <c r="G4" s="29" t="s">
        <v>126</v>
      </c>
      <c r="H4" s="29"/>
      <c r="I4" s="38"/>
      <c r="J4" s="29"/>
    </row>
    <row r="5" spans="1:13" x14ac:dyDescent="0.3">
      <c r="A5" s="54" t="s">
        <v>93</v>
      </c>
      <c r="B5" s="54" t="s">
        <v>92</v>
      </c>
      <c r="C5" s="45">
        <v>439.8</v>
      </c>
      <c r="D5" s="45">
        <v>2199</v>
      </c>
      <c r="E5" s="45">
        <v>5</v>
      </c>
      <c r="F5" s="54" t="s">
        <v>125</v>
      </c>
      <c r="G5" s="29" t="s">
        <v>127</v>
      </c>
      <c r="H5" s="29"/>
      <c r="I5" s="38"/>
      <c r="J5" s="29"/>
    </row>
    <row r="6" spans="1:13" x14ac:dyDescent="0.3">
      <c r="A6" s="54">
        <v>2020</v>
      </c>
      <c r="B6" s="54" t="s">
        <v>21</v>
      </c>
      <c r="C6" s="45">
        <v>222</v>
      </c>
      <c r="D6" s="45">
        <v>222</v>
      </c>
      <c r="E6" s="45">
        <v>1</v>
      </c>
      <c r="F6" s="54" t="s">
        <v>128</v>
      </c>
      <c r="G6" s="29" t="s">
        <v>129</v>
      </c>
      <c r="H6" s="29"/>
      <c r="I6" s="38"/>
      <c r="J6" s="29"/>
    </row>
    <row r="7" spans="1:13" x14ac:dyDescent="0.3">
      <c r="A7" s="54">
        <v>2021</v>
      </c>
      <c r="B7" s="54" t="s">
        <v>92</v>
      </c>
      <c r="C7" s="45">
        <v>439.8</v>
      </c>
      <c r="D7" s="45">
        <v>439.8</v>
      </c>
      <c r="E7" s="45">
        <v>1</v>
      </c>
      <c r="F7" s="54" t="s">
        <v>125</v>
      </c>
      <c r="G7" s="29" t="s">
        <v>130</v>
      </c>
      <c r="H7" s="29"/>
      <c r="I7" s="38"/>
      <c r="J7" s="29"/>
    </row>
    <row r="8" spans="1:13" x14ac:dyDescent="0.3">
      <c r="A8" s="54" t="s">
        <v>94</v>
      </c>
      <c r="B8" s="54" t="s">
        <v>30</v>
      </c>
      <c r="C8" s="45">
        <v>335</v>
      </c>
      <c r="D8" s="45">
        <v>670</v>
      </c>
      <c r="E8" s="45">
        <v>2</v>
      </c>
      <c r="F8" s="54" t="s">
        <v>29</v>
      </c>
      <c r="G8" s="29" t="s">
        <v>131</v>
      </c>
      <c r="H8" s="29"/>
      <c r="I8" s="38"/>
      <c r="J8" s="29"/>
    </row>
    <row r="9" spans="1:13" x14ac:dyDescent="0.3">
      <c r="A9" s="54" t="s">
        <v>132</v>
      </c>
      <c r="B9" s="54" t="s">
        <v>30</v>
      </c>
      <c r="C9" s="45">
        <v>500</v>
      </c>
      <c r="D9" s="45">
        <v>2500</v>
      </c>
      <c r="E9" s="45">
        <v>5</v>
      </c>
      <c r="F9" s="54" t="s">
        <v>29</v>
      </c>
      <c r="G9" s="29" t="s">
        <v>133</v>
      </c>
      <c r="H9" s="29"/>
      <c r="I9" s="38"/>
      <c r="J9" s="29"/>
      <c r="M9" s="29"/>
    </row>
    <row r="10" spans="1:13" x14ac:dyDescent="0.3">
      <c r="I10" s="38"/>
    </row>
    <row r="11" spans="1:13" x14ac:dyDescent="0.3">
      <c r="I11" s="38"/>
    </row>
    <row r="12" spans="1:13" x14ac:dyDescent="0.3">
      <c r="I12" s="38"/>
    </row>
    <row r="13" spans="1:13" x14ac:dyDescent="0.3">
      <c r="I13" s="38"/>
    </row>
    <row r="14" spans="1:13" x14ac:dyDescent="0.3">
      <c r="A14" s="53"/>
      <c r="B14" s="53"/>
      <c r="C14" s="49"/>
      <c r="E14" s="49"/>
      <c r="F14" s="53"/>
      <c r="G14" s="13"/>
      <c r="H14" s="13"/>
      <c r="I14" s="38"/>
      <c r="J14" s="13"/>
      <c r="K14" s="13"/>
    </row>
    <row r="15" spans="1:13" x14ac:dyDescent="0.3">
      <c r="A15" s="54"/>
      <c r="B15" s="54"/>
      <c r="C15" s="45"/>
      <c r="E15" s="45"/>
      <c r="F15" s="54"/>
      <c r="G15" s="29"/>
      <c r="H15" s="29"/>
      <c r="I15" s="38"/>
      <c r="J15" s="29"/>
      <c r="K15" s="29"/>
    </row>
    <row r="16" spans="1:13" x14ac:dyDescent="0.3">
      <c r="A16" s="54"/>
      <c r="B16" s="54"/>
      <c r="C16" s="45"/>
      <c r="E16" s="45"/>
      <c r="F16" s="54"/>
      <c r="G16" s="29"/>
      <c r="H16" s="29"/>
      <c r="I16" s="38"/>
      <c r="J16" s="29"/>
      <c r="K16" s="29"/>
    </row>
    <row r="17" spans="1:11" x14ac:dyDescent="0.3">
      <c r="A17" s="54"/>
      <c r="B17" s="54"/>
      <c r="C17" s="45"/>
      <c r="E17" s="45"/>
      <c r="F17" s="54"/>
      <c r="G17" s="29"/>
      <c r="H17" s="29"/>
      <c r="I17" s="38"/>
      <c r="J17" s="29"/>
      <c r="K17" s="29"/>
    </row>
    <row r="18" spans="1:11" x14ac:dyDescent="0.3">
      <c r="A18" s="54"/>
      <c r="B18" s="54"/>
      <c r="C18" s="45"/>
      <c r="E18" s="45"/>
      <c r="F18" s="54"/>
      <c r="G18" s="29"/>
      <c r="H18" s="29"/>
      <c r="I18" s="38"/>
      <c r="J18" s="29"/>
      <c r="K18" s="29"/>
    </row>
    <row r="19" spans="1:11" x14ac:dyDescent="0.3">
      <c r="I19" s="38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MATCHES</vt:lpstr>
      <vt:lpstr>PERFORMANCE</vt:lpstr>
      <vt:lpstr>PLAYER PERFORMANCE</vt:lpstr>
      <vt:lpstr>BRAND VALUE</vt:lpstr>
      <vt:lpstr>TEAM SPONSORSHIP</vt:lpstr>
      <vt:lpstr>TEAM POPULARITY</vt:lpstr>
      <vt:lpstr>IPL POPULARITY</vt:lpstr>
      <vt:lpstr>TITLE SPONSORSHIP </vt:lpstr>
      <vt:lpstr>'TITLE SPONSORSHIP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 murugesh</dc:creator>
  <cp:lastModifiedBy>lakshma murugesh</cp:lastModifiedBy>
  <dcterms:created xsi:type="dcterms:W3CDTF">2025-12-18T07:47:59Z</dcterms:created>
  <dcterms:modified xsi:type="dcterms:W3CDTF">2026-01-08T15:09:59Z</dcterms:modified>
</cp:coreProperties>
</file>